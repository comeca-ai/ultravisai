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gorm\iCloudDrive\Documents\UltraVis\"/>
    </mc:Choice>
  </mc:AlternateContent>
  <xr:revisionPtr revIDLastSave="0" documentId="8_{5D211D0B-B0E2-4427-8073-9CB0BDC45F99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Índice de Citabilidade" sheetId="2" r:id="rId1"/>
    <sheet name="Critérios de Nota" sheetId="4" r:id="rId2"/>
    <sheet name="Ponte IC × Score" sheetId="3" r:id="rId3"/>
    <sheet name="Draft-Estrutura e Comparativo" sheetId="1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1" i="3" l="1"/>
  <c r="G11" i="3"/>
  <c r="F11" i="3"/>
  <c r="E11" i="3"/>
  <c r="D11" i="3"/>
  <c r="C11" i="3"/>
  <c r="I10" i="3"/>
  <c r="B10" i="3"/>
  <c r="I9" i="3"/>
  <c r="B9" i="3"/>
  <c r="I8" i="3"/>
  <c r="B8" i="3"/>
  <c r="I7" i="3"/>
  <c r="B7" i="3"/>
  <c r="I6" i="3"/>
  <c r="B6" i="3"/>
  <c r="I5" i="3"/>
  <c r="I11" i="3" s="1"/>
  <c r="B5" i="3"/>
  <c r="C23" i="2"/>
  <c r="E23" i="2" s="1"/>
  <c r="E22" i="2"/>
  <c r="C22" i="2"/>
  <c r="C21" i="2"/>
  <c r="E21" i="2" s="1"/>
  <c r="C20" i="2"/>
  <c r="E20" i="2" s="1"/>
  <c r="C19" i="2"/>
  <c r="E19" i="2" s="1"/>
  <c r="E18" i="2"/>
  <c r="C18" i="2"/>
  <c r="E13" i="2"/>
  <c r="E2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18" authorId="0" shapeId="0" xr:uid="{00000000-0006-0000-0100-000001000000}">
      <text>
        <r>
          <rPr>
            <sz val="10"/>
            <rFont val="Arial"/>
            <family val="2"/>
          </rPr>
          <t>01 Legibilidade do Site — faixas de nota:
0–20: Sem schema, sem llms.txt/sitemap, headings caóticos, sem entidade — a máquina não lê nem te identifica
21–40: Só sitemap; schema ausente ou inválido em poucas páginas; sem entidade
41–60: Organization schema válido nas páginas-chave, sitemap ok, headings razoáveis; sem Product/FAQ, sem llms.txt, entidade fraca
61–80: Schema Org+Product+FAQ na maioria das páginas, llms.txt presente, headings limpos + resposta-no-topo; entidade com nome/aliases inconsistentes
81–100: JSON-LD completo e validado (Org/Product/FAQ/Review), llms.txt+sitemap, resposta-no-topo impecável, entidade no Wikidata/Wikipedia com aliases consistentes
(detalhe na aba 'Critérios de Nota')</t>
        </r>
      </text>
    </comment>
    <comment ref="D19" authorId="0" shapeId="0" xr:uid="{00000000-0006-0000-0100-000002000000}">
      <text>
        <r>
          <rPr>
            <sz val="10"/>
            <rFont val="Arial"/>
            <family val="2"/>
          </rPr>
          <t>02 Conteúdo — faixas de nota:
0–20: &lt;20% dos tópicos com página; páginas não extraíveis (paredão de texto, sem dados/fonte, resposta enterrada)
21–40: 20-40% cobertos; qualidade GEO fraca
41–60: 40-60% cobertos; algumas páginas front-load a resposta, estatísticas ocasionais com fonte
61–80: 60-80% cobertos; maioria resposta-no-topo, cita estatística/fonte, algumas tabelas, majoritariamente fresco
81–100: ≥80% com página dedicada; resposta nos ~30% iniciais, dados com fonte, citações de especialista, tabelas, blocos 50-150 palavras, &lt;12 meses
(detalhe na aba 'Critérios de Nota')</t>
        </r>
      </text>
    </comment>
    <comment ref="D20" authorId="0" shapeId="0" xr:uid="{00000000-0006-0000-0100-000003000000}">
      <text>
        <r>
          <rPr>
            <sz val="10"/>
            <rFont val="Arial"/>
            <family val="2"/>
          </rPr>
          <t>03 Social Presence — faixas de nota:
0–20: 0-1 plataforma, dormente
21–40: 2 plataformas, posts esporádicos (&gt;3 meses parado)
41–60: 3 plataformas ativas, cadência mensal, sem YouTube
61–80: 4 plataformas, recente (últimas semanas), inclui YouTube
81–100: 5 plataformas consistentemente ativas, cadência semanal+, YouTube forte, conteúdo do site reaproveitado
(detalhe na aba 'Critérios de Nota')</t>
        </r>
      </text>
    </comment>
    <comment ref="D21" authorId="0" shapeId="0" xr:uid="{00000000-0006-0000-0100-000004000000}">
      <text>
        <r>
          <rPr>
            <sz val="10"/>
            <rFont val="Arial"/>
            <family val="2"/>
          </rPr>
          <t>04 Customer Reviews — faixas de nota:
0–20: Sem perfis reivindicados; sem reviews ou negativos sem resposta
21–40: Perfil em 1 plataforma, volume baixo, datado, nota &lt;3,5
41–60: Perfis em 2-3 plataformas relevantes, volume moderado, nota ~4,0, algumas respostas
61–80: Perfis completos nas plataformas-chave, nota ≥4,2, reviews recentes constantes, reclamações respondidas, alguma presença Reddit/Quora
81–100: Presença forte + nota ≥4,5 + alto volume recente em G2/Trustpilot/etc + threads ativas e positivas em Reddit/Quora
(detalhe na aba 'Critérios de Nota')</t>
        </r>
      </text>
    </comment>
    <comment ref="D22" authorId="0" shapeId="0" xr:uid="{00000000-0006-0000-0100-000005000000}">
      <text>
        <r>
          <rPr>
            <sz val="10"/>
            <rFont val="Arial"/>
            <family val="2"/>
          </rPr>
          <t>05 Open Media &amp; AI Sources — faixas de nota:
0–20: Presente em &lt;10% dos domínios citados; poucos refdomains
21–40: 10-25% dos domínios citados
41–60: 25-50% — presente em fontes de frequência média
61–80: 50-75%, incluindo vários domínios de alta frequência de citação; refdomains saudáveis
81–100: ≥75% ponderado pela frequência; presente nos domínios mais citados; grande footprint de refdomains
(detalhe na aba 'Critérios de Nota')</t>
        </r>
      </text>
    </comment>
    <comment ref="D23" authorId="0" shapeId="0" xr:uid="{00000000-0006-0000-0100-000006000000}">
      <text>
        <r>
          <rPr>
            <sz val="10"/>
            <rFont val="Arial"/>
            <family val="2"/>
          </rPr>
          <t>06 Verticals/Segments/Regulators — faixas de nota:
0–20: Marca desconhecida (busca de marca ~0), ausente de reguladores/associações/listas
21–40: Pequena busca de marca, sem listagens de vertical
41–60: Demanda de marca moderada, em algumas listas 'melhores/alternativas a'
61–80: Busca de marca sólida, membro de associações-chave, aparece em várias listas/referências da vertical
81–100: Forte demanda de marca + reguladores/normas + associações + Wikipedia + listas 'top do setor'
(detalhe na aba 'Critérios de Nota')</t>
        </r>
      </text>
    </comment>
  </commentList>
</comments>
</file>

<file path=xl/sharedStrings.xml><?xml version="1.0" encoding="utf-8"?>
<sst xmlns="http://schemas.openxmlformats.org/spreadsheetml/2006/main" count="407" uniqueCount="263">
  <si>
    <t>Valor  Mensal</t>
  </si>
  <si>
    <t>R$15.000 /mês</t>
  </si>
  <si>
    <t>R$20.000 /mês</t>
  </si>
  <si>
    <t>R$30.000 /mês</t>
  </si>
  <si>
    <t>Categoria / Feature</t>
  </si>
  <si>
    <t>Entrada. Diagnóstico e Monitoramento. Todo mês</t>
  </si>
  <si>
    <t>Mais opções de prompts e relatórios mensais. Ultravis te ajuda a priorizar e customizar</t>
  </si>
  <si>
    <t>Domínio total. Conteúdo, monitoramento da concorrência, C-level. Briefings customizados</t>
  </si>
  <si>
    <t>Proposta de Valor para sua Marca ou Empresa 
de cada um dos elementos/ features</t>
  </si>
  <si>
    <t>DIAGNÓSTICO &amp; MONITORAMENTO</t>
  </si>
  <si>
    <t>Frequência de diagnóstico</t>
  </si>
  <si>
    <t>Mensal</t>
  </si>
  <si>
    <t>Semanal</t>
  </si>
  <si>
    <t>Diário</t>
  </si>
  <si>
    <t>Em função da necessidade de atualização ou testes de prompts e posicionamento para usa Empresa ou Marca</t>
  </si>
  <si>
    <t>Motores de IA cobertos</t>
  </si>
  <si>
    <t>9</t>
  </si>
  <si>
    <t>Cobertura dos principais existentes: ChatGPT, Gemini, Claude, Google IO, Perplexity, Grok, CoPilot, DeepMind eMinimax</t>
  </si>
  <si>
    <t>Estimativa de potencial de retorno (em vendas) para seu negócio</t>
  </si>
  <si>
    <t>✓</t>
  </si>
  <si>
    <t>Range estimado e raciona de cálculo, a partir do impacto esperado em visibilidade, leads que resultariam em vendas após implantadas as correções e melhorias sugeridas</t>
  </si>
  <si>
    <t>Score report completo</t>
  </si>
  <si>
    <t>Ranking para os prompts considerados e abertura nas 6 dimensões do Score, com pontos positivos e o que é preciso ajustar</t>
  </si>
  <si>
    <t>Dashboard de monitoramento (nas 6 dimensões do Score)</t>
  </si>
  <si>
    <t>Visualização da evolução do Score e dimensões que o compõe, com indicação das principais mudanças</t>
  </si>
  <si>
    <t>Rede de Conhecimento</t>
  </si>
  <si>
    <t>Mapa visual de onde e por onde passam as IAs quando buscam informação de sua marca e seus concorrentes</t>
  </si>
  <si>
    <t>Kit Press Release - Conteúdo de Autoridade</t>
  </si>
  <si>
    <t>—</t>
  </si>
  <si>
    <t>Sugestão de conteúdo com headline, corpo, referência e canal a publicar para reforça a Autoridade da marca</t>
  </si>
  <si>
    <t>Alertas de variação de score</t>
  </si>
  <si>
    <t>alertas enviados via email ou whatsapp quando há uma alteração de mais de +/-5 pontos na sua nota ou dos concorrentes mapeados  (função background semanal)</t>
  </si>
  <si>
    <t>Fale com o Orin</t>
  </si>
  <si>
    <t>Suporte online e real-time que você pode perguntar termos técnicos ou entendimento de elementos direto do relatório 24x7</t>
  </si>
  <si>
    <t>BRIEFING CUSTOMIZADO</t>
  </si>
  <si>
    <t>Resumo do briefing customizado para até 100 prompts definidos pelo cliente</t>
  </si>
  <si>
    <t>Verificação no relatório de que todo o briefing foi considerado e o retorno de cada IA para os prompts específicos</t>
  </si>
  <si>
    <t>ESTRATÉGIA &amp; REPORTING</t>
  </si>
  <si>
    <t>Briefings de conteúdo</t>
  </si>
  <si>
    <t>Em CADA relatório, Sugestão de conteúdo e código  para Blog, FAQ e outros para aprovação interna e consequente post/publicação</t>
  </si>
  <si>
    <t>Sessões de estratégia</t>
  </si>
  <si>
    <t>1hr/mês</t>
  </si>
  <si>
    <t>2–3h/mês</t>
  </si>
  <si>
    <t>Até 90 min semanais</t>
  </si>
  <si>
    <t>Consultoria com executivos Ultravis para entender e adequar prompts e posicionamento para a marca ou empresa, para que os relatórios sejam o mais específico possível</t>
  </si>
  <si>
    <t>Relatórios customizados</t>
  </si>
  <si>
    <t>A partir de uma página de Briefing com prompts específicos para o posicionamento da empresa ou marca, geração de relatórios adicionais</t>
  </si>
  <si>
    <t>Relatório executivo C-level</t>
  </si>
  <si>
    <t>Resumo de principais pontos, visão das IAs sobre a marca e aumentar engajamento/ alinhamento Executivo do tema</t>
  </si>
  <si>
    <t>PERGUNTAS IA</t>
  </si>
  <si>
    <t>Share of voice em IA (Total, Direto e Orgânico)</t>
  </si>
  <si>
    <t>Entender o quanto as IAs citam você quando há consultas genéricas do segmento ou quando perguntam em específico sobre sua marca</t>
  </si>
  <si>
    <t>Tabela de visibilidade por motor de IA</t>
  </si>
  <si>
    <t>Score por cada uma das  IAs de teu share of voice</t>
  </si>
  <si>
    <t>Resumo Teste LLMO
O que a “IA sabe / IA não sabe” sobre a marca</t>
  </si>
  <si>
    <t>Resumo Executivo dos principais sobre o que as IAs sabem ou não para priorizar sua estratégia de posicionamento e melhorar alinhamento executivo na sua empresa</t>
  </si>
  <si>
    <t>Lista de Fontes que as IAs consultam</t>
  </si>
  <si>
    <t>Referência de onde a IA buscou e você precisa monitorar e se posicionar</t>
  </si>
  <si>
    <t>Lacunas das IAs</t>
  </si>
  <si>
    <t>Visibilidade dos prompts avaliados pelas IAs e se sua marca aparece ou não</t>
  </si>
  <si>
    <t>Teste em Tempo Real</t>
  </si>
  <si>
    <t>Digite uma pergunta e veja como cada IA responde em tempo real</t>
  </si>
  <si>
    <t>CONCORRENTES</t>
  </si>
  <si>
    <t>Comparação direta de sua nota nas 6 dimensões com o líder do segmento</t>
  </si>
  <si>
    <t>Entender como e onde o teu concorrente está melhor ou não</t>
  </si>
  <si>
    <t>Comparativo das 6 dimensões técnicas entre os concorrentes</t>
  </si>
  <si>
    <t>Quais as notas dos principais concorrentes, vs a sua por cada uma das 6 dimensões que compões o Index</t>
  </si>
  <si>
    <t>Tabela técnica resumo você vs os concorrentes (JSON, Schema, LLM.txt, FAQ, etc)</t>
  </si>
  <si>
    <t>Apresenta um resumo preliminar do status dos concorrentes vs você sobre atuação nestas dimensões</t>
  </si>
  <si>
    <t>Comparativo de produtos ou serviços com seus concorrentes</t>
  </si>
  <si>
    <t>Comparativo de seus principais produtos e o Sentimento (recomendação) das IAs sobre quando/ porque escolher o seu vs o do concorrente</t>
  </si>
  <si>
    <t>AUDITORIA TÉCNICA (SITE DA MARCA)</t>
  </si>
  <si>
    <t xml:space="preserve">    Itens técnicos</t>
  </si>
  <si>
    <t>Auditoria em 8 dimensões de teu site</t>
  </si>
  <si>
    <t>Resumo dos principais pontos a melhorar/ajustar no site da marca em relação a 8 dimensões (Rendering, Schema J-SON-LD, FAQ/Editorial, llms.txt, configuração de idioma/país, Página de produto sem título descritivo, meta tags sociais, Trust/reputação</t>
  </si>
  <si>
    <t>Social GEO Score</t>
  </si>
  <si>
    <t>Apresenta as fontes de informação complementares sobre sua marca que foram consultadas e qualidade técnica para leitura das IAs</t>
  </si>
  <si>
    <t>Auditoria de presença em fontes citadas pela IA</t>
  </si>
  <si>
    <t xml:space="preserve">    Scan preliminar de comércio agêntico</t>
  </si>
  <si>
    <t>Scan preliminar de comércio agêntico (agentic commerce)</t>
  </si>
  <si>
    <t>Resumo Preliminar de problemas/ limitadores técnicos do site ao agentes de compra</t>
  </si>
  <si>
    <t>Prontidão de catálogo / feed para agentes de compra (futuro)</t>
  </si>
  <si>
    <t>Mapeamento preliminar do CATÄLOGO quanto problemas/ limitadores aos agentes de compra (futuro)</t>
  </si>
  <si>
    <t>Verificação de fontes de preço / disponibilidade (futuro)</t>
  </si>
  <si>
    <t>Mapeamento preliminar de PREÇOS e DISPONIBILIDADE quanto a problemas/ limitadores aos agentes de compra (futuro)</t>
  </si>
  <si>
    <t xml:space="preserve">PRIORIZAÇÃO DE PROBLEMAS </t>
  </si>
  <si>
    <t>Classificação de severidade (crítico/alto/médio/baixo)</t>
  </si>
  <si>
    <t>Indicação da criticidade para os elementos identificados</t>
  </si>
  <si>
    <t>Estimativa de impacto no score por problema</t>
  </si>
  <si>
    <t>Indicação do potencial para orientar a priorização dos problemas e itens técnicos a resolver</t>
  </si>
  <si>
    <t>Quick wins identificados (Ações de Impacto rápido)</t>
  </si>
  <si>
    <t>Resumo de 2-3 temas de atuação rápida e que trazem resultados em uma semana</t>
  </si>
  <si>
    <t>IMPLEMENTAÇÃO</t>
  </si>
  <si>
    <t>Plano de ação personalizado</t>
  </si>
  <si>
    <t>Plano de Ação em Sprints de 30 dias, com detalhe de códigos, sugestão conteúdo de FAQ ou temas a serem implantados</t>
  </si>
  <si>
    <t>Guia de implementação por responsável</t>
  </si>
  <si>
    <t>Visão de quem deveria implantar cada tema, por responsabilidade</t>
  </si>
  <si>
    <t>Recomendação Schema.org + llms.txt, específico para o site</t>
  </si>
  <si>
    <t>Detalhe de código a fazer copy+paste da ferramenta para o site da marca ou empresa para corrigir/melhorar visibilidade</t>
  </si>
  <si>
    <t>ULTRAVIS — Índice de Citabilidade (IC)</t>
  </si>
  <si>
    <t>Nota de 0 a 100 que mede o quanto você fez para ser citável — o gêmeo acionável da Visibilidade. Cada ponto é uma alavanca que o cliente controla. Soma ponderada de 6 dimensões, ordenadas de interno → externo. Pesos-prior sujeitos a calibração empírica contra a Visibilidade observada.</t>
  </si>
  <si>
    <t>IC  =  0,22 · Open Media &amp; AI Sources  +  0,20 · Conteúdo  +  0,18 · Customer Reviews  +  0,15 · Legibilidade do Site  +  0,13 · Verticals/Segments/Regulators  +  0,12 · Social Presence</t>
  </si>
  <si>
    <t>As 6 dimensões  ·  do que você controla ao que você conquista</t>
  </si>
  <si>
    <t>#</t>
  </si>
  <si>
    <t>Dimensão</t>
  </si>
  <si>
    <t>Frente</t>
  </si>
  <si>
    <t>Zona de ação</t>
  </si>
  <si>
    <t>Peso</t>
  </si>
  <si>
    <t>O que mede</t>
  </si>
  <si>
    <t>01</t>
  </si>
  <si>
    <t>Legibilidade do Site</t>
  </si>
  <si>
    <t>Site próprio</t>
  </si>
  <si>
    <t>Você controla sozinho</t>
  </si>
  <si>
    <t>Prontidão técnica e entidade — schema/JSON-LD, llms.txt, sitemap, Wikidata/Wikipedia, headings e resposta no topo.</t>
  </si>
  <si>
    <t>02</t>
  </si>
  <si>
    <t>Conteúdo</t>
  </si>
  <si>
    <t>Cobertura + qualidade GEO por tópico — página própria e extraível: resposta no topo, estatísticas com fonte, blocos curtos.</t>
  </si>
  <si>
    <t>03</t>
  </si>
  <si>
    <t>Social Presence</t>
  </si>
  <si>
    <t>Redes sociais</t>
  </si>
  <si>
    <t>Você ativa / reivindica</t>
  </si>
  <si>
    <t>Pegada multiplataforma e frescor — presença ativa em 4+ canais (destaque YouTube) e cadência recente.</t>
  </si>
  <si>
    <t>04</t>
  </si>
  <si>
    <t>Customer Reviews</t>
  </si>
  <si>
    <t>Voz dos clientes</t>
  </si>
  <si>
    <t>Prova social e voz do cliente — G2, Trustpilot, Capterra, Reclame Aqui, Google Reviews e menções em Reddit/Quora.</t>
  </si>
  <si>
    <t>05</t>
  </si>
  <si>
    <t>Open Media &amp; AI Sources</t>
  </si>
  <si>
    <t>Mídia e PR</t>
  </si>
  <si>
    <t>Você conquista no tempo</t>
  </si>
  <si>
    <t>Presença nos domínios que as IAs citam — mídia earned, editorial, fóruns, diretórios e listagens do setor.</t>
  </si>
  <si>
    <t>06</t>
  </si>
  <si>
    <t>Verticals/Segments/Regulators</t>
  </si>
  <si>
    <t>Segmento</t>
  </si>
  <si>
    <t>Autoridade na vertical — reguladores e referências do setor, associações, listas "melhores/alternativas a" e demanda de marca.</t>
  </si>
  <si>
    <t>Peso total</t>
  </si>
  <si>
    <t>deve somar 100%</t>
  </si>
  <si>
    <t>Simulador de Score</t>
  </si>
  <si>
    <t>Preencha apenas a coluna Nota (0–100, células amarelas) e a Evidência. Critérios de cada nota: passe o mouse na célula ou veja a aba 'Critérios de Nota'.</t>
  </si>
  <si>
    <t>Nota (0–100)</t>
  </si>
  <si>
    <t>Contribuição</t>
  </si>
  <si>
    <t>Evidência (fonte da nota)</t>
  </si>
  <si>
    <t>Org schema em 8/10 páginas; sem llms.txt (crawl 2026-08)</t>
  </si>
  <si>
    <t>14/20 tópicos com página; ~60% front-load (auditoria de conteúdo)</t>
  </si>
  <si>
    <t>4 canais ativos; YouTube parado há ~2 meses</t>
  </si>
  <si>
    <t>G2 4,3 (120 reviews); Trustpilot 4,1; Reclame Aqui respondido</t>
  </si>
  <si>
    <t>presente em 9/24 domínios citados (Ahrefs + aba Citações)</t>
  </si>
  <si>
    <t>busca de marca 2,4k/mês; em 2 listas 'alternativas a'; sem Wikipedia</t>
  </si>
  <si>
    <t>IC (0–100)</t>
  </si>
  <si>
    <t>=</t>
  </si>
  <si>
    <t>soma das contribuições (média ponderada das notas)</t>
  </si>
  <si>
    <t>ULTRAVIS — Ponte: Índice de Citabilidade (alavanca) × Score / Visibilidade (resultado)</t>
  </si>
  <si>
    <t>Cada ● indica que a alavanca (linha) move aquela dimensão do Score (coluna). Cor do ● = zona de ação. Crosswalk qualitativo — confiança média, a ser confirmado/corrigido pela calibração por regressão do IC contra a Visibilidade observada.</t>
  </si>
  <si>
    <t>Alavanca (IC)  ↓   /   Dimensão do Score  →</t>
  </si>
  <si>
    <t>Peso IC</t>
  </si>
  <si>
    <t>Citação
20% Score</t>
  </si>
  <si>
    <t>Presença
20% Score</t>
  </si>
  <si>
    <t>Autoridade
20% Score</t>
  </si>
  <si>
    <t>Posição
15% Score</t>
  </si>
  <si>
    <t>Acurácia
15% Score</t>
  </si>
  <si>
    <t>Sentimento
10% Score</t>
  </si>
  <si>
    <t>Dimensões
movidas</t>
  </si>
  <si>
    <t>01 · Legibilidade do Site</t>
  </si>
  <si>
    <t>●</t>
  </si>
  <si>
    <t>02 · Conteúdo</t>
  </si>
  <si>
    <t>03 · Social Presence</t>
  </si>
  <si>
    <t>04 · Customer Reviews</t>
  </si>
  <si>
    <t>05 · Open Media &amp; AI Sources</t>
  </si>
  <si>
    <t>06 · Verticals/Segments/Regulators</t>
  </si>
  <si>
    <t>Alavancas que movem a dimensão</t>
  </si>
  <si>
    <t>Leitura: a maior alavanca (Open Media &amp; AI Sources, 22% do IC) move Citação, Presença e Posição do Score. Autoridade é a dimensão mais "puxada" (4 alavancas). Ajuste os ● conforme a calibração empírica evoluir.</t>
  </si>
  <si>
    <t>ULTRAVIS — Critérios de Nota (0 a 100) por dimensão</t>
  </si>
  <si>
    <t>Cada nota ancora num sinal mensurável — registre a evidência ao dar a nota. Citabilidade é auditada dos seus ativos (crawler, Ahrefs, checagem de perfis); Visibilidade é lida das respostas de IA sobre um prompt-set fixo × motores. Faixas e thresholds são pontos de partida, a calibrar.</t>
  </si>
  <si>
    <t>CITABILIDADE — alavancas (você age · medido dos seus ativos)</t>
  </si>
  <si>
    <t>Sinal medido</t>
  </si>
  <si>
    <t>0–20</t>
  </si>
  <si>
    <t>21–40</t>
  </si>
  <si>
    <t>41–60</t>
  </si>
  <si>
    <t>61–80</t>
  </si>
  <si>
    <t>81–100</t>
  </si>
  <si>
    <t>Cobertura de JSON-LD válido, llms.txt+sitemap, headings, entidade (Wikidata/Wikipedia) e nome/aliases consistentes</t>
  </si>
  <si>
    <t>Sem schema, sem llms.txt/sitemap, headings caóticos, sem entidade — a máquina não lê nem te identifica</t>
  </si>
  <si>
    <t>Só sitemap; schema ausente ou inválido em poucas páginas; sem entidade</t>
  </si>
  <si>
    <t>Organization schema válido nas páginas-chave, sitemap ok, headings razoáveis; sem Product/FAQ, sem llms.txt, entidade fraca</t>
  </si>
  <si>
    <t>Schema Org+Product+FAQ na maioria das páginas, llms.txt presente, headings limpos + resposta-no-topo; entidade com nome/aliases inconsistentes</t>
  </si>
  <si>
    <t>JSON-LD completo e validado (Org/Product/FAQ/Review), llms.txt+sitemap, resposta-no-topo impecável, entidade no Wikidata/Wikipedia com aliases consistentes</t>
  </si>
  <si>
    <t>Cobertura (% dos tópicos com página própria) × qualidade GEO (resposta nos ~30% iniciais, estatística com fonte, tabelas, blocos 50-150 palavras, &lt;12 meses)</t>
  </si>
  <si>
    <t>&lt;20% dos tópicos com página; páginas não extraíveis (paredão de texto, sem dados/fonte, resposta enterrada)</t>
  </si>
  <si>
    <t>20-40% cobertos; qualidade GEO fraca</t>
  </si>
  <si>
    <t>40-60% cobertos; algumas páginas front-load a resposta, estatísticas ocasionais com fonte</t>
  </si>
  <si>
    <t>60-80% cobertos; maioria resposta-no-topo, cita estatística/fonte, algumas tabelas, majoritariamente fresco</t>
  </si>
  <si>
    <t>≥80% com página dedicada; resposta nos ~30% iniciais, dados com fonte, citações de especialista, tabelas, blocos 50-150 palavras, &lt;12 meses</t>
  </si>
  <si>
    <t>Nº de plataformas ativas (satura em 5), recência/cadência, bônus YouTube</t>
  </si>
  <si>
    <t>0-1 plataforma, dormente</t>
  </si>
  <si>
    <t>2 plataformas, posts esporádicos (&gt;3 meses parado)</t>
  </si>
  <si>
    <t>3 plataformas ativas, cadência mensal, sem YouTube</t>
  </si>
  <si>
    <t>4 plataformas, recente (últimas semanas), inclui YouTube</t>
  </si>
  <si>
    <t>5 plataformas consistentemente ativas, cadência semanal+, YouTube forte, conteúdo do site reaproveitado</t>
  </si>
  <si>
    <t>Presença/nota/volume/recência nas plataformas do seu mercado + menções em Reddit/Quora</t>
  </si>
  <si>
    <t>Sem perfis reivindicados; sem reviews ou negativos sem resposta</t>
  </si>
  <si>
    <t>Perfil em 1 plataforma, volume baixo, datado, nota &lt;3,5</t>
  </si>
  <si>
    <t>Perfis em 2-3 plataformas relevantes, volume moderado, nota ~4,0, algumas respostas</t>
  </si>
  <si>
    <t>Perfis completos nas plataformas-chave, nota ≥4,2, reviews recentes constantes, reclamações respondidas, alguma presença Reddit/Quora</t>
  </si>
  <si>
    <t>Presença forte + nota ≥4,5 + alto volume recente em G2/Trustpilot/etc + threads ativas e positivas em Reddit/Quora</t>
  </si>
  <si>
    <t>% dos domínios que as IAs citam no seu mercado onde você aparece (ponderado pela frequência de citação) + refdomains</t>
  </si>
  <si>
    <t>Presente em &lt;10% dos domínios citados; poucos refdomains</t>
  </si>
  <si>
    <t>10-25% dos domínios citados</t>
  </si>
  <si>
    <t>25-50% — presente em fontes de frequência média</t>
  </si>
  <si>
    <t>50-75%, incluindo vários domínios de alta frequência de citação; refdomains saudáveis</t>
  </si>
  <si>
    <t>≥75% ponderado pela frequência; presente nos domínios mais citados; grande footprint de refdomains</t>
  </si>
  <si>
    <t>Demanda de marca (volume de busca — correlato mais forte, r≈0,334), presença em reguladores/associações/listas 'melhores/alternativas a', Wikipedia</t>
  </si>
  <si>
    <t>Marca desconhecida (busca de marca ~0), ausente de reguladores/associações/listas</t>
  </si>
  <si>
    <t>Pequena busca de marca, sem listagens de vertical</t>
  </si>
  <si>
    <t>Demanda de marca moderada, em algumas listas 'melhores/alternativas a'</t>
  </si>
  <si>
    <t>Busca de marca sólida, membro de associações-chave, aparece em várias listas/referências da vertical</t>
  </si>
  <si>
    <t>Forte demanda de marca + reguladores/normas + associações + Wikipedia + listas 'top do setor'</t>
  </si>
  <si>
    <t>VISIBILIDADE / SCORE — resultado (você mede · lido das respostas de IA)</t>
  </si>
  <si>
    <t>Citação</t>
  </si>
  <si>
    <t>Nível de menção médio (não cita → cita → recomenda → lidera), sobre o prompt-set fixo × motores</t>
  </si>
  <si>
    <t>Praticamente não mencionada nos prompts</t>
  </si>
  <si>
    <t>Mencionada só pelo nome, ocasionalmente</t>
  </si>
  <si>
    <t>Mencionada na maioria dos prompts relevantes, às vezes descrita</t>
  </si>
  <si>
    <t>Ativamente recomendada em muitas respostas</t>
  </si>
  <si>
    <t>Lidera / é a recomendação principal, consistente entre prompts e motores</t>
  </si>
  <si>
    <t>Presença</t>
  </si>
  <si>
    <t>Em quantos motores você aparece (cross-engine)</t>
  </si>
  <si>
    <t>Aparece em 0-1 motor</t>
  </si>
  <si>
    <t>2 motores</t>
  </si>
  <si>
    <t>3-4 motores</t>
  </si>
  <si>
    <t>5 motores / maioria</t>
  </si>
  <si>
    <t>Todos os motores (6/6 ou 9/9), com consistência cross-engine</t>
  </si>
  <si>
    <t>Autoridade</t>
  </si>
  <si>
    <t>Profundidade do contexto quando citada</t>
  </si>
  <si>
    <t>Só o nome, sem contexto</t>
  </si>
  <si>
    <t>Nome + descritor genérico de uma linha</t>
  </si>
  <si>
    <t>Descreve a categoria / o que você faz</t>
  </si>
  <si>
    <t>Descreve diferenciais e produtos com precisão</t>
  </si>
  <si>
    <t>Narrativa rica e precisa — diferenciais, produtos, história, posicionamento</t>
  </si>
  <si>
    <t>Posição</t>
  </si>
  <si>
    <t>Posição média quando citada na resposta</t>
  </si>
  <si>
    <t>Citada em 5º ou pior</t>
  </si>
  <si>
    <t>~4º</t>
  </si>
  <si>
    <t>~3º</t>
  </si>
  <si>
    <t>~2º</t>
  </si>
  <si>
    <t>~1º de forma consistente</t>
  </si>
  <si>
    <t>Acurácia</t>
  </si>
  <si>
    <t>Correção factual / taxa de alucinação</t>
  </si>
  <si>
    <t>Alucina/erra fatos sobre a marca com frequência</t>
  </si>
  <si>
    <t>Várias imprecisões</t>
  </si>
  <si>
    <t>Majoritariamente correto, alguns dados desatualizados/erros menores</t>
  </si>
  <si>
    <t>Preciso, raros deslizes menores</t>
  </si>
  <si>
    <t>Totalmente preciso e atual, sem alucinação</t>
  </si>
  <si>
    <t>Sentimento</t>
  </si>
  <si>
    <t>Tom da citação</t>
  </si>
  <si>
    <t>Predominantemente negativo</t>
  </si>
  <si>
    <t>Misto puxando para negativo</t>
  </si>
  <si>
    <t>Neutro</t>
  </si>
  <si>
    <t>Majoritariamente positivo</t>
  </si>
  <si>
    <t>Consistentemente positivo / recomendação entusiasta</t>
  </si>
  <si>
    <t>SINAL/
SINAL</t>
  </si>
  <si>
    <t>ALCANCE/
REACH</t>
  </si>
  <si>
    <t>DOMÍNIO/
DOMAIN</t>
  </si>
  <si>
    <t>ULTRAVIS   ·   Comparativo de Pacotes  —  Visibilidade &amp; Inteligência em 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</si>
</sst>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4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0"/>
      <color rgb="FF0B0B0B"/>
      <name val="Arial"/>
      <charset val="1"/>
    </font>
    <font>
      <b/>
      <sz val="11"/>
      <color rgb="FF0B0B0B"/>
      <name val="Arial"/>
      <charset val="1"/>
    </font>
    <font>
      <b/>
      <sz val="13"/>
      <color rgb="FF2A78D6"/>
      <name val="Arial"/>
      <charset val="1"/>
    </font>
    <font>
      <i/>
      <sz val="9"/>
      <color rgb="FF52514E"/>
      <name val="Arial"/>
      <charset val="1"/>
    </font>
    <font>
      <b/>
      <sz val="9"/>
      <color rgb="FF0B0B0B"/>
      <name val="Arial"/>
      <charset val="1"/>
    </font>
    <font>
      <b/>
      <sz val="10.5"/>
      <color rgb="FFFFFFFF"/>
      <name val="Arial"/>
      <charset val="1"/>
    </font>
    <font>
      <sz val="10"/>
      <color rgb="FF0B0B0B"/>
      <name val="Arial"/>
      <charset val="1"/>
    </font>
    <font>
      <sz val="9"/>
      <color rgb="FF0B0B0B"/>
      <name val="Arial"/>
      <charset val="1"/>
    </font>
    <font>
      <sz val="9"/>
      <color rgb="FF52514E"/>
      <name val="Arial"/>
      <charset val="1"/>
    </font>
    <font>
      <b/>
      <sz val="11"/>
      <color rgb="FF0CA30C"/>
      <name val="Arial"/>
      <charset val="1"/>
    </font>
    <font>
      <sz val="11"/>
      <color rgb="FF898781"/>
      <name val="Arial"/>
      <charset val="1"/>
    </font>
    <font>
      <b/>
      <sz val="9.5"/>
      <color rgb="FF1C5CAB"/>
      <name val="Arial"/>
      <charset val="1"/>
    </font>
    <font>
      <i/>
      <sz val="9.5"/>
      <color rgb="FF52514E"/>
      <name val="Arial"/>
      <charset val="1"/>
    </font>
    <font>
      <b/>
      <sz val="10"/>
      <color rgb="FF1C5CAB"/>
      <name val="Arial"/>
      <charset val="1"/>
    </font>
    <font>
      <b/>
      <sz val="11"/>
      <color rgb="FFFFFFFF"/>
      <name val="Arial"/>
      <charset val="1"/>
    </font>
    <font>
      <b/>
      <sz val="10.5"/>
      <color rgb="FF0B0B0B"/>
      <name val="Arial"/>
      <charset val="1"/>
    </font>
    <font>
      <b/>
      <sz val="9"/>
      <color rgb="FF2A78D6"/>
      <name val="Arial"/>
      <charset val="1"/>
    </font>
    <font>
      <b/>
      <sz val="9"/>
      <color rgb="FFEB6834"/>
      <name val="Arial"/>
      <charset val="1"/>
    </font>
    <font>
      <b/>
      <sz val="9"/>
      <color rgb="FF1BAF7A"/>
      <name val="Arial"/>
      <charset val="1"/>
    </font>
    <font>
      <i/>
      <sz val="9"/>
      <color rgb="FF898781"/>
      <name val="Arial"/>
      <charset val="1"/>
    </font>
    <font>
      <i/>
      <sz val="9"/>
      <color rgb="FF1C5CAB"/>
      <name val="Arial"/>
      <charset val="1"/>
    </font>
    <font>
      <sz val="11"/>
      <name val="Arial"/>
      <charset val="1"/>
    </font>
    <font>
      <b/>
      <sz val="10"/>
      <color rgb="FFFFFFFF"/>
      <name val="Arial"/>
      <charset val="1"/>
    </font>
    <font>
      <sz val="10"/>
      <color rgb="FF52514E"/>
      <name val="Arial"/>
      <charset val="1"/>
    </font>
    <font>
      <b/>
      <sz val="13"/>
      <color rgb="FFFFFFFF"/>
      <name val="Arial"/>
      <charset val="1"/>
    </font>
    <font>
      <sz val="10"/>
      <name val="Arial"/>
      <family val="2"/>
    </font>
    <font>
      <b/>
      <sz val="14"/>
      <color rgb="FFFFFFFF"/>
      <name val="Arial"/>
      <charset val="1"/>
    </font>
    <font>
      <b/>
      <sz val="9.5"/>
      <color rgb="FF0B0B0B"/>
      <name val="Arial"/>
      <charset val="1"/>
    </font>
    <font>
      <sz val="10"/>
      <color rgb="FF898781"/>
      <name val="Arial"/>
      <charset val="1"/>
    </font>
    <font>
      <b/>
      <sz val="13"/>
      <color rgb="FFEB6834"/>
      <name val="Arial"/>
      <charset val="1"/>
    </font>
    <font>
      <b/>
      <sz val="13"/>
      <color rgb="FF1BAF7A"/>
      <name val="Arial"/>
      <charset val="1"/>
    </font>
    <font>
      <b/>
      <sz val="15"/>
      <color rgb="FFFFFFFF"/>
      <name val="Arial"/>
      <charset val="1"/>
    </font>
  </fonts>
  <fills count="20">
    <fill>
      <patternFill patternType="none"/>
    </fill>
    <fill>
      <patternFill patternType="gray125"/>
    </fill>
    <fill>
      <patternFill patternType="solid">
        <fgColor rgb="FF0B0B0B"/>
        <bgColor rgb="FF000000"/>
      </patternFill>
    </fill>
    <fill>
      <patternFill patternType="solid">
        <fgColor rgb="FFF2F1EE"/>
        <bgColor rgb="FFEEF1F5"/>
      </patternFill>
    </fill>
    <fill>
      <patternFill patternType="solid">
        <fgColor rgb="FFE1E0D9"/>
        <bgColor rgb="FFDDF3EA"/>
      </patternFill>
    </fill>
    <fill>
      <patternFill patternType="solid">
        <fgColor rgb="FF2A78D6"/>
        <bgColor rgb="FF1C5CAB"/>
      </patternFill>
    </fill>
    <fill>
      <patternFill patternType="solid">
        <fgColor rgb="FFFCFCFB"/>
        <bgColor rgb="FFFFFFFF"/>
      </patternFill>
    </fill>
    <fill>
      <patternFill patternType="solid">
        <fgColor rgb="FFF7F6F3"/>
        <bgColor rgb="FFF2F1EE"/>
      </patternFill>
    </fill>
    <fill>
      <patternFill patternType="solid">
        <fgColor rgb="FFE7EFFB"/>
        <bgColor rgb="FFEEF1F5"/>
      </patternFill>
    </fill>
    <fill>
      <patternFill patternType="solid">
        <fgColor rgb="FFEB6834"/>
        <bgColor rgb="FFFF8080"/>
      </patternFill>
    </fill>
    <fill>
      <patternFill patternType="solid">
        <fgColor rgb="FFFCE7DD"/>
        <bgColor rgb="FFF2F1EE"/>
      </patternFill>
    </fill>
    <fill>
      <patternFill patternType="solid">
        <fgColor rgb="FF1BAF7A"/>
        <bgColor rgb="FF33CCCC"/>
      </patternFill>
    </fill>
    <fill>
      <patternFill patternType="solid">
        <fgColor rgb="FFDDF3EA"/>
        <bgColor rgb="FFE7EFFB"/>
      </patternFill>
    </fill>
    <fill>
      <patternFill patternType="solid">
        <fgColor rgb="FFFFF3C4"/>
        <bgColor rgb="FFFCE7DD"/>
      </patternFill>
    </fill>
    <fill>
      <patternFill patternType="solid">
        <fgColor rgb="FF334155"/>
        <bgColor rgb="FF52514E"/>
      </patternFill>
    </fill>
    <fill>
      <patternFill patternType="solid">
        <fgColor rgb="FFEEF1F5"/>
        <bgColor rgb="FFF2F1EE"/>
      </patternFill>
    </fill>
    <fill>
      <patternFill patternType="solid">
        <fgColor rgb="FF9B8CFF"/>
        <bgColor rgb="FFB9B2FF"/>
      </patternFill>
    </fill>
    <fill>
      <patternFill patternType="solid">
        <fgColor rgb="FF6D5DF6"/>
        <bgColor rgb="FF9B8CFF"/>
      </patternFill>
    </fill>
    <fill>
      <patternFill patternType="solid">
        <fgColor rgb="FF3F2FB0"/>
        <bgColor rgb="FF003366"/>
      </patternFill>
    </fill>
    <fill>
      <patternFill patternType="solid">
        <fgColor rgb="FF0E1330"/>
        <bgColor rgb="FF20233A"/>
      </patternFill>
    </fill>
  </fills>
  <borders count="4">
    <border>
      <left/>
      <right/>
      <top/>
      <bottom/>
      <diagonal/>
    </border>
    <border>
      <left/>
      <right/>
      <top/>
      <bottom style="thin">
        <color rgb="FFE1E0D9"/>
      </bottom>
      <diagonal/>
    </border>
    <border>
      <left style="thin">
        <color rgb="FFE1E0D9"/>
      </left>
      <right style="thin">
        <color rgb="FFE1E0D9"/>
      </right>
      <top style="thin">
        <color rgb="FFE1E0D9"/>
      </top>
      <bottom style="thin">
        <color rgb="FFE1E0D9"/>
      </bottom>
      <diagonal/>
    </border>
    <border>
      <left style="thin">
        <color rgb="FFE3E3EE"/>
      </left>
      <right style="thin">
        <color rgb="FFE3E3EE"/>
      </right>
      <top style="thin">
        <color rgb="FFE3E3EE"/>
      </top>
      <bottom style="thin">
        <color rgb="FFE3E3EE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6" fillId="14" borderId="0" xfId="0" applyFont="1" applyFill="1" applyAlignment="1">
      <alignment horizontal="left" vertical="center" indent="1"/>
    </xf>
    <xf numFmtId="0" fontId="21" fillId="0" borderId="0" xfId="0" applyFont="1" applyAlignment="1">
      <alignment horizontal="left" vertical="center" wrapText="1" indent="1"/>
    </xf>
    <xf numFmtId="0" fontId="28" fillId="2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right" vertical="center"/>
    </xf>
    <xf numFmtId="0" fontId="22" fillId="8" borderId="0" xfId="0" applyFont="1" applyFill="1" applyAlignment="1">
      <alignment horizontal="left" vertical="center" wrapText="1" indent="1"/>
    </xf>
    <xf numFmtId="0" fontId="2" fillId="3" borderId="0" xfId="0" applyFont="1" applyFill="1" applyAlignment="1">
      <alignment horizontal="right" vertical="center" indent="1"/>
    </xf>
    <xf numFmtId="0" fontId="16" fillId="5" borderId="0" xfId="0" applyFont="1" applyFill="1" applyAlignment="1">
      <alignment horizontal="left" vertical="center" indent="1"/>
    </xf>
    <xf numFmtId="0" fontId="15" fillId="8" borderId="0" xfId="0" applyFont="1" applyFill="1" applyAlignment="1">
      <alignment horizontal="left" vertical="center" wrapText="1" indent="1"/>
    </xf>
    <xf numFmtId="0" fontId="14" fillId="3" borderId="0" xfId="0" applyFont="1" applyFill="1" applyAlignment="1">
      <alignment horizontal="left" vertical="center" wrapText="1" indent="1"/>
    </xf>
    <xf numFmtId="0" fontId="13" fillId="8" borderId="0" xfId="0" applyFont="1" applyFill="1" applyAlignment="1">
      <alignment horizontal="left" vertical="center" indent="2"/>
    </xf>
    <xf numFmtId="0" fontId="7" fillId="5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/>
    <xf numFmtId="0" fontId="0" fillId="3" borderId="0" xfId="0" applyFill="1"/>
    <xf numFmtId="0" fontId="3" fillId="3" borderId="0" xfId="0" applyFont="1" applyFill="1" applyAlignment="1">
      <alignment horizontal="left" vertical="center" indent="1"/>
    </xf>
    <xf numFmtId="0" fontId="4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 wrapText="1" indent="1"/>
    </xf>
    <xf numFmtId="0" fontId="5" fillId="4" borderId="0" xfId="0" applyFont="1" applyFill="1" applyAlignment="1">
      <alignment horizontal="left" vertical="top" wrapText="1"/>
    </xf>
    <xf numFmtId="0" fontId="6" fillId="4" borderId="0" xfId="0" applyFont="1" applyFill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 indent="1"/>
    </xf>
    <xf numFmtId="0" fontId="9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 indent="1"/>
    </xf>
    <xf numFmtId="0" fontId="9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left" vertical="center" wrapText="1" indent="1"/>
    </xf>
    <xf numFmtId="0" fontId="10" fillId="6" borderId="1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 wrapText="1"/>
    </xf>
    <xf numFmtId="9" fontId="2" fillId="6" borderId="1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left" vertical="center" wrapText="1" indent="1"/>
    </xf>
    <xf numFmtId="0" fontId="16" fillId="9" borderId="1" xfId="0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left" vertical="center" wrapText="1" indent="1"/>
    </xf>
    <xf numFmtId="0" fontId="19" fillId="10" borderId="1" xfId="0" applyFont="1" applyFill="1" applyBorder="1" applyAlignment="1">
      <alignment horizontal="center" vertical="center" wrapText="1"/>
    </xf>
    <xf numFmtId="0" fontId="16" fillId="11" borderId="1" xfId="0" applyFont="1" applyFill="1" applyBorder="1" applyAlignment="1">
      <alignment horizontal="center" vertical="center"/>
    </xf>
    <xf numFmtId="0" fontId="17" fillId="12" borderId="1" xfId="0" applyFont="1" applyFill="1" applyBorder="1" applyAlignment="1">
      <alignment horizontal="left" vertical="center" wrapText="1" indent="1"/>
    </xf>
    <xf numFmtId="0" fontId="20" fillId="12" borderId="1" xfId="0" applyFont="1" applyFill="1" applyBorder="1" applyAlignment="1">
      <alignment horizontal="center" vertical="center" wrapText="1"/>
    </xf>
    <xf numFmtId="9" fontId="15" fillId="3" borderId="0" xfId="0" applyNumberFormat="1" applyFont="1" applyFill="1" applyAlignment="1">
      <alignment horizontal="center" vertical="center"/>
    </xf>
    <xf numFmtId="0" fontId="21" fillId="3" borderId="0" xfId="0" applyFont="1" applyFill="1" applyAlignment="1">
      <alignment horizontal="left" vertical="center" indent="1"/>
    </xf>
    <xf numFmtId="0" fontId="23" fillId="6" borderId="0" xfId="0" applyFont="1" applyFill="1"/>
    <xf numFmtId="0" fontId="2" fillId="4" borderId="1" xfId="0" applyFont="1" applyFill="1" applyBorder="1" applyAlignment="1">
      <alignment horizontal="left" vertical="center" wrapText="1" inden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indent="1"/>
    </xf>
    <xf numFmtId="0" fontId="24" fillId="5" borderId="1" xfId="0" applyFont="1" applyFill="1" applyBorder="1" applyAlignment="1">
      <alignment horizontal="center" vertical="center"/>
    </xf>
    <xf numFmtId="9" fontId="25" fillId="6" borderId="1" xfId="0" applyNumberFormat="1" applyFont="1" applyFill="1" applyBorder="1" applyAlignment="1">
      <alignment horizontal="center" vertical="center"/>
    </xf>
    <xf numFmtId="1" fontId="2" fillId="13" borderId="2" xfId="0" applyNumberFormat="1" applyFont="1" applyFill="1" applyBorder="1" applyAlignment="1">
      <alignment horizontal="center" vertical="center"/>
    </xf>
    <xf numFmtId="164" fontId="8" fillId="6" borderId="1" xfId="0" applyNumberFormat="1" applyFont="1" applyFill="1" applyBorder="1" applyAlignment="1">
      <alignment horizontal="center" vertical="center"/>
    </xf>
    <xf numFmtId="0" fontId="5" fillId="13" borderId="2" xfId="0" applyFont="1" applyFill="1" applyBorder="1" applyAlignment="1">
      <alignment horizontal="left" vertical="center" wrapText="1" indent="1"/>
    </xf>
    <xf numFmtId="0" fontId="24" fillId="9" borderId="1" xfId="0" applyFont="1" applyFill="1" applyBorder="1" applyAlignment="1">
      <alignment horizontal="center" vertical="center"/>
    </xf>
    <xf numFmtId="0" fontId="24" fillId="11" borderId="1" xfId="0" applyFont="1" applyFill="1" applyBorder="1" applyAlignment="1">
      <alignment horizontal="center" vertical="center"/>
    </xf>
    <xf numFmtId="0" fontId="23" fillId="3" borderId="0" xfId="0" applyFont="1" applyFill="1"/>
    <xf numFmtId="0" fontId="3" fillId="3" borderId="0" xfId="0" applyFont="1" applyFill="1" applyAlignment="1">
      <alignment horizontal="center" vertical="center"/>
    </xf>
    <xf numFmtId="164" fontId="26" fillId="5" borderId="0" xfId="0" applyNumberFormat="1" applyFont="1" applyFill="1" applyAlignment="1">
      <alignment horizontal="center" vertical="center"/>
    </xf>
    <xf numFmtId="0" fontId="2" fillId="4" borderId="2" xfId="0" applyFont="1" applyFill="1" applyBorder="1" applyAlignment="1">
      <alignment horizontal="left" vertical="center" wrapText="1" indent="1"/>
    </xf>
    <xf numFmtId="0" fontId="29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left" vertical="center" wrapText="1" indent="1"/>
    </xf>
    <xf numFmtId="9" fontId="25" fillId="6" borderId="2" xfId="0" applyNumberFormat="1" applyFont="1" applyFill="1" applyBorder="1" applyAlignment="1">
      <alignment horizontal="center" vertical="center" wrapText="1"/>
    </xf>
    <xf numFmtId="0" fontId="30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1" fontId="2" fillId="6" borderId="2" xfId="0" applyNumberFormat="1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left" vertical="center" wrapText="1" indent="1"/>
    </xf>
    <xf numFmtId="0" fontId="31" fillId="6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left" vertical="center" wrapText="1" indent="1"/>
    </xf>
    <xf numFmtId="0" fontId="32" fillId="6" borderId="2" xfId="0" applyFont="1" applyFill="1" applyBorder="1" applyAlignment="1">
      <alignment horizontal="center" vertical="center" wrapText="1"/>
    </xf>
    <xf numFmtId="0" fontId="29" fillId="3" borderId="2" xfId="0" applyFont="1" applyFill="1" applyBorder="1" applyAlignment="1">
      <alignment horizontal="right" vertical="center" indent="1"/>
    </xf>
    <xf numFmtId="0" fontId="23" fillId="3" borderId="2" xfId="0" applyFont="1" applyFill="1" applyBorder="1"/>
    <xf numFmtId="1" fontId="15" fillId="3" borderId="2" xfId="0" applyNumberFormat="1" applyFont="1" applyFill="1" applyBorder="1" applyAlignment="1">
      <alignment horizontal="center" vertical="center" wrapText="1"/>
    </xf>
    <xf numFmtId="0" fontId="29" fillId="4" borderId="2" xfId="0" applyFont="1" applyFill="1" applyBorder="1" applyAlignment="1">
      <alignment horizontal="left" vertical="center" indent="1"/>
    </xf>
    <xf numFmtId="0" fontId="2" fillId="8" borderId="2" xfId="0" applyFont="1" applyFill="1" applyBorder="1" applyAlignment="1">
      <alignment horizontal="left" vertical="top" wrapText="1" indent="1"/>
    </xf>
    <xf numFmtId="0" fontId="10" fillId="6" borderId="2" xfId="0" applyFont="1" applyFill="1" applyBorder="1" applyAlignment="1">
      <alignment horizontal="left" vertical="top" wrapText="1" indent="1"/>
    </xf>
    <xf numFmtId="0" fontId="2" fillId="10" borderId="2" xfId="0" applyFont="1" applyFill="1" applyBorder="1" applyAlignment="1">
      <alignment horizontal="left" vertical="top" wrapText="1" indent="1"/>
    </xf>
    <xf numFmtId="0" fontId="2" fillId="12" borderId="2" xfId="0" applyFont="1" applyFill="1" applyBorder="1" applyAlignment="1">
      <alignment horizontal="left" vertical="top" wrapText="1" indent="1"/>
    </xf>
    <xf numFmtId="0" fontId="2" fillId="15" borderId="2" xfId="0" applyFont="1" applyFill="1" applyBorder="1" applyAlignment="1">
      <alignment horizontal="left" vertical="top" wrapText="1" indent="1"/>
    </xf>
    <xf numFmtId="0" fontId="33" fillId="16" borderId="3" xfId="0" applyFont="1" applyFill="1" applyBorder="1" applyAlignment="1">
      <alignment horizontal="center" vertical="center" wrapText="1"/>
    </xf>
    <xf numFmtId="0" fontId="33" fillId="17" borderId="3" xfId="0" applyFont="1" applyFill="1" applyBorder="1" applyAlignment="1">
      <alignment horizontal="center" vertical="center" wrapText="1"/>
    </xf>
    <xf numFmtId="0" fontId="33" fillId="18" borderId="3" xfId="0" applyFont="1" applyFill="1" applyBorder="1" applyAlignment="1">
      <alignment horizontal="center" vertical="center" wrapText="1"/>
    </xf>
    <xf numFmtId="0" fontId="1" fillId="19" borderId="3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CA30C"/>
      <rgbColor rgb="FF000080"/>
      <rgbColor rgb="FF808000"/>
      <rgbColor rgb="FF800080"/>
      <rgbColor rgb="FF008080"/>
      <rgbColor rgb="FFF7F6F3"/>
      <rgbColor rgb="FF898781"/>
      <rgbColor rgb="FF9999FF"/>
      <rgbColor rgb="FF993366"/>
      <rgbColor rgb="FFFFF3C4"/>
      <rgbColor rgb="FFDDF3EA"/>
      <rgbColor rgb="FF660066"/>
      <rgbColor rgb="FFFF8080"/>
      <rgbColor rgb="FF1C5CAB"/>
      <rgbColor rgb="FFE1E0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FFB"/>
      <rgbColor rgb="FFEEF1F5"/>
      <rgbColor rgb="FFFCE7DD"/>
      <rgbColor rgb="FFFCFCFB"/>
      <rgbColor rgb="FFFF99CC"/>
      <rgbColor rgb="FFCC99FF"/>
      <rgbColor rgb="FFF2F1EE"/>
      <rgbColor rgb="FF2A78D6"/>
      <rgbColor rgb="FF33CCCC"/>
      <rgbColor rgb="FF99CC00"/>
      <rgbColor rgb="FFFFCC00"/>
      <rgbColor rgb="FFFF9900"/>
      <rgbColor rgb="FFEB6834"/>
      <rgbColor rgb="FF52514E"/>
      <rgbColor rgb="FF969696"/>
      <rgbColor rgb="FF003366"/>
      <rgbColor rgb="FF1BAF7A"/>
      <rgbColor rgb="FF0B0B0B"/>
      <rgbColor rgb="FF333300"/>
      <rgbColor rgb="FF993300"/>
      <rgbColor rgb="FF993366"/>
      <rgbColor rgb="FF333399"/>
      <rgbColor rgb="FF3341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"/>
  <sheetViews>
    <sheetView showGridLines="0" tabSelected="1" zoomScaleNormal="100" workbookViewId="0">
      <pane ySplit="5" topLeftCell="A7" activePane="bottomLeft" state="frozen"/>
      <selection pane="bottomLeft" sqref="A1:F1"/>
    </sheetView>
  </sheetViews>
  <sheetFormatPr defaultColWidth="8.7109375" defaultRowHeight="15" x14ac:dyDescent="0.25"/>
  <cols>
    <col min="1" max="1" width="5" customWidth="1"/>
    <col min="2" max="2" width="32" customWidth="1"/>
    <col min="3" max="3" width="16" customWidth="1"/>
    <col min="4" max="4" width="24" customWidth="1"/>
    <col min="5" max="5" width="9" customWidth="1"/>
    <col min="6" max="6" width="86.140625" customWidth="1"/>
  </cols>
  <sheetData>
    <row r="1" spans="1:6" ht="33.75" customHeight="1" x14ac:dyDescent="0.25">
      <c r="A1" s="12" t="s">
        <v>99</v>
      </c>
      <c r="B1" s="12"/>
      <c r="C1" s="12"/>
      <c r="D1" s="12"/>
      <c r="E1" s="12"/>
      <c r="F1" s="12"/>
    </row>
    <row r="2" spans="1:6" ht="45.75" customHeight="1" x14ac:dyDescent="0.25">
      <c r="A2" s="9" t="s">
        <v>100</v>
      </c>
      <c r="B2" s="9"/>
      <c r="C2" s="9"/>
      <c r="D2" s="9"/>
      <c r="E2" s="9"/>
      <c r="F2" s="9"/>
    </row>
    <row r="3" spans="1:6" ht="39.75" customHeight="1" x14ac:dyDescent="0.25">
      <c r="A3" s="8" t="s">
        <v>101</v>
      </c>
      <c r="B3" s="8"/>
      <c r="C3" s="8"/>
      <c r="D3" s="8"/>
      <c r="E3" s="8"/>
      <c r="F3" s="8"/>
    </row>
    <row r="4" spans="1:6" ht="6" customHeight="1" x14ac:dyDescent="0.25"/>
    <row r="5" spans="1:6" ht="21.75" customHeight="1" x14ac:dyDescent="0.25">
      <c r="A5" s="7" t="s">
        <v>102</v>
      </c>
      <c r="B5" s="7"/>
      <c r="C5" s="7"/>
      <c r="D5" s="7"/>
      <c r="E5" s="7"/>
      <c r="F5" s="7"/>
    </row>
    <row r="6" spans="1:6" ht="19.5" customHeight="1" x14ac:dyDescent="0.25">
      <c r="A6" s="30" t="s">
        <v>103</v>
      </c>
      <c r="B6" s="17" t="s">
        <v>104</v>
      </c>
      <c r="C6" s="30" t="s">
        <v>105</v>
      </c>
      <c r="D6" s="30" t="s">
        <v>106</v>
      </c>
      <c r="E6" s="30" t="s">
        <v>107</v>
      </c>
      <c r="F6" s="17" t="s">
        <v>108</v>
      </c>
    </row>
    <row r="7" spans="1:6" ht="39.75" customHeight="1" x14ac:dyDescent="0.25">
      <c r="A7" s="31" t="s">
        <v>109</v>
      </c>
      <c r="B7" s="32" t="s">
        <v>110</v>
      </c>
      <c r="C7" s="33" t="s">
        <v>111</v>
      </c>
      <c r="D7" s="34" t="s">
        <v>112</v>
      </c>
      <c r="E7" s="35">
        <v>0.15</v>
      </c>
      <c r="F7" s="36" t="s">
        <v>113</v>
      </c>
    </row>
    <row r="8" spans="1:6" ht="39.75" customHeight="1" x14ac:dyDescent="0.25">
      <c r="A8" s="31" t="s">
        <v>114</v>
      </c>
      <c r="B8" s="32" t="s">
        <v>115</v>
      </c>
      <c r="C8" s="33" t="s">
        <v>111</v>
      </c>
      <c r="D8" s="34" t="s">
        <v>112</v>
      </c>
      <c r="E8" s="35">
        <v>0.2</v>
      </c>
      <c r="F8" s="36" t="s">
        <v>116</v>
      </c>
    </row>
    <row r="9" spans="1:6" ht="39.75" customHeight="1" x14ac:dyDescent="0.25">
      <c r="A9" s="37" t="s">
        <v>117</v>
      </c>
      <c r="B9" s="38" t="s">
        <v>118</v>
      </c>
      <c r="C9" s="33" t="s">
        <v>119</v>
      </c>
      <c r="D9" s="39" t="s">
        <v>120</v>
      </c>
      <c r="E9" s="35">
        <v>0.12</v>
      </c>
      <c r="F9" s="36" t="s">
        <v>121</v>
      </c>
    </row>
    <row r="10" spans="1:6" ht="39.75" customHeight="1" x14ac:dyDescent="0.25">
      <c r="A10" s="37" t="s">
        <v>122</v>
      </c>
      <c r="B10" s="38" t="s">
        <v>123</v>
      </c>
      <c r="C10" s="33" t="s">
        <v>124</v>
      </c>
      <c r="D10" s="39" t="s">
        <v>120</v>
      </c>
      <c r="E10" s="35">
        <v>0.18</v>
      </c>
      <c r="F10" s="36" t="s">
        <v>125</v>
      </c>
    </row>
    <row r="11" spans="1:6" ht="39.75" customHeight="1" x14ac:dyDescent="0.25">
      <c r="A11" s="40" t="s">
        <v>126</v>
      </c>
      <c r="B11" s="41" t="s">
        <v>127</v>
      </c>
      <c r="C11" s="33" t="s">
        <v>128</v>
      </c>
      <c r="D11" s="42" t="s">
        <v>129</v>
      </c>
      <c r="E11" s="35">
        <v>0.22</v>
      </c>
      <c r="F11" s="36" t="s">
        <v>130</v>
      </c>
    </row>
    <row r="12" spans="1:6" ht="39.75" customHeight="1" x14ac:dyDescent="0.25">
      <c r="A12" s="40" t="s">
        <v>131</v>
      </c>
      <c r="B12" s="41" t="s">
        <v>132</v>
      </c>
      <c r="C12" s="33" t="s">
        <v>133</v>
      </c>
      <c r="D12" s="42" t="s">
        <v>129</v>
      </c>
      <c r="E12" s="35">
        <v>0.13</v>
      </c>
      <c r="F12" s="36" t="s">
        <v>134</v>
      </c>
    </row>
    <row r="13" spans="1:6" ht="15" customHeight="1" x14ac:dyDescent="0.25">
      <c r="A13" s="6" t="s">
        <v>135</v>
      </c>
      <c r="B13" s="6"/>
      <c r="C13" s="6"/>
      <c r="D13" s="6"/>
      <c r="E13" s="43">
        <f>SUM(E7:E12)</f>
        <v>0.99999999999999989</v>
      </c>
      <c r="F13" s="44" t="s">
        <v>136</v>
      </c>
    </row>
    <row r="15" spans="1:6" ht="21.75" customHeight="1" x14ac:dyDescent="0.25">
      <c r="A15" s="7" t="s">
        <v>137</v>
      </c>
      <c r="B15" s="7"/>
      <c r="C15" s="7"/>
      <c r="D15" s="7"/>
      <c r="E15" s="7"/>
      <c r="F15" s="7"/>
    </row>
    <row r="16" spans="1:6" ht="18" customHeight="1" x14ac:dyDescent="0.25">
      <c r="A16" s="5" t="s">
        <v>138</v>
      </c>
      <c r="B16" s="5"/>
      <c r="C16" s="5"/>
      <c r="D16" s="5"/>
      <c r="E16" s="5"/>
      <c r="F16" s="5"/>
    </row>
    <row r="17" spans="1:6" ht="18" customHeight="1" x14ac:dyDescent="0.25">
      <c r="A17" s="45"/>
      <c r="B17" s="46" t="s">
        <v>104</v>
      </c>
      <c r="C17" s="47" t="s">
        <v>107</v>
      </c>
      <c r="D17" s="47" t="s">
        <v>139</v>
      </c>
      <c r="E17" s="47" t="s">
        <v>140</v>
      </c>
      <c r="F17" s="48" t="s">
        <v>141</v>
      </c>
    </row>
    <row r="18" spans="1:6" ht="30" customHeight="1" x14ac:dyDescent="0.25">
      <c r="A18" s="49" t="s">
        <v>109</v>
      </c>
      <c r="B18" s="20" t="s">
        <v>110</v>
      </c>
      <c r="C18" s="50">
        <f t="shared" ref="C18:C23" si="0">E7</f>
        <v>0.15</v>
      </c>
      <c r="D18" s="51">
        <v>60</v>
      </c>
      <c r="E18" s="52">
        <f t="shared" ref="E18:E23" si="1">C18*D18</f>
        <v>9</v>
      </c>
      <c r="F18" s="53" t="s">
        <v>142</v>
      </c>
    </row>
    <row r="19" spans="1:6" ht="30" customHeight="1" x14ac:dyDescent="0.25">
      <c r="A19" s="49" t="s">
        <v>114</v>
      </c>
      <c r="B19" s="20" t="s">
        <v>115</v>
      </c>
      <c r="C19" s="50">
        <f t="shared" si="0"/>
        <v>0.2</v>
      </c>
      <c r="D19" s="51">
        <v>72</v>
      </c>
      <c r="E19" s="52">
        <f t="shared" si="1"/>
        <v>14.4</v>
      </c>
      <c r="F19" s="53" t="s">
        <v>143</v>
      </c>
    </row>
    <row r="20" spans="1:6" ht="30" customHeight="1" x14ac:dyDescent="0.25">
      <c r="A20" s="54" t="s">
        <v>117</v>
      </c>
      <c r="B20" s="20" t="s">
        <v>118</v>
      </c>
      <c r="C20" s="50">
        <f t="shared" si="0"/>
        <v>0.12</v>
      </c>
      <c r="D20" s="51">
        <v>45</v>
      </c>
      <c r="E20" s="52">
        <f t="shared" si="1"/>
        <v>5.3999999999999995</v>
      </c>
      <c r="F20" s="53" t="s">
        <v>144</v>
      </c>
    </row>
    <row r="21" spans="1:6" ht="30" customHeight="1" x14ac:dyDescent="0.25">
      <c r="A21" s="54" t="s">
        <v>122</v>
      </c>
      <c r="B21" s="20" t="s">
        <v>123</v>
      </c>
      <c r="C21" s="50">
        <f t="shared" si="0"/>
        <v>0.18</v>
      </c>
      <c r="D21" s="51">
        <v>55</v>
      </c>
      <c r="E21" s="52">
        <f t="shared" si="1"/>
        <v>9.9</v>
      </c>
      <c r="F21" s="53" t="s">
        <v>145</v>
      </c>
    </row>
    <row r="22" spans="1:6" ht="30" customHeight="1" x14ac:dyDescent="0.25">
      <c r="A22" s="55" t="s">
        <v>126</v>
      </c>
      <c r="B22" s="20" t="s">
        <v>127</v>
      </c>
      <c r="C22" s="50">
        <f t="shared" si="0"/>
        <v>0.22</v>
      </c>
      <c r="D22" s="51">
        <v>30</v>
      </c>
      <c r="E22" s="52">
        <f t="shared" si="1"/>
        <v>6.6</v>
      </c>
      <c r="F22" s="53" t="s">
        <v>146</v>
      </c>
    </row>
    <row r="23" spans="1:6" ht="30" customHeight="1" x14ac:dyDescent="0.25">
      <c r="A23" s="55" t="s">
        <v>131</v>
      </c>
      <c r="B23" s="20" t="s">
        <v>132</v>
      </c>
      <c r="C23" s="50">
        <f t="shared" si="0"/>
        <v>0.13</v>
      </c>
      <c r="D23" s="51">
        <v>48</v>
      </c>
      <c r="E23" s="52">
        <f t="shared" si="1"/>
        <v>6.24</v>
      </c>
      <c r="F23" s="53" t="s">
        <v>147</v>
      </c>
    </row>
    <row r="24" spans="1:6" ht="24" customHeight="1" x14ac:dyDescent="0.25">
      <c r="A24" s="56"/>
      <c r="B24" s="4" t="s">
        <v>148</v>
      </c>
      <c r="C24" s="4"/>
      <c r="D24" s="57" t="s">
        <v>149</v>
      </c>
      <c r="E24" s="58">
        <f>SUM(E18:E23)</f>
        <v>51.54</v>
      </c>
      <c r="F24" s="44" t="s">
        <v>150</v>
      </c>
    </row>
  </sheetData>
  <mergeCells count="8">
    <mergeCell ref="A15:F15"/>
    <mergeCell ref="A16:F16"/>
    <mergeCell ref="B24:C24"/>
    <mergeCell ref="A1:F1"/>
    <mergeCell ref="A2:F2"/>
    <mergeCell ref="A3:F3"/>
    <mergeCell ref="A5:F5"/>
    <mergeCell ref="A13:D13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8" sqref="C8"/>
    </sheetView>
  </sheetViews>
  <sheetFormatPr defaultColWidth="8.7109375" defaultRowHeight="15" x14ac:dyDescent="0.25"/>
  <cols>
    <col min="1" max="1" width="24" customWidth="1"/>
    <col min="2" max="2" width="30" customWidth="1"/>
    <col min="3" max="7" width="27" customWidth="1"/>
  </cols>
  <sheetData>
    <row r="1" spans="1:7" ht="30" customHeight="1" x14ac:dyDescent="0.25">
      <c r="A1" s="3" t="s">
        <v>171</v>
      </c>
      <c r="B1" s="3"/>
      <c r="C1" s="3"/>
      <c r="D1" s="3"/>
      <c r="E1" s="3"/>
      <c r="F1" s="3"/>
      <c r="G1" s="3"/>
    </row>
    <row r="2" spans="1:7" ht="43.5" customHeight="1" x14ac:dyDescent="0.25">
      <c r="A2" s="9" t="s">
        <v>172</v>
      </c>
      <c r="B2" s="9"/>
      <c r="C2" s="9"/>
      <c r="D2" s="9"/>
      <c r="E2" s="9"/>
      <c r="F2" s="9"/>
      <c r="G2" s="9"/>
    </row>
    <row r="3" spans="1:7" ht="6" customHeight="1" x14ac:dyDescent="0.25"/>
    <row r="4" spans="1:7" ht="21.75" customHeight="1" x14ac:dyDescent="0.25">
      <c r="A4" s="7" t="s">
        <v>173</v>
      </c>
      <c r="B4" s="7"/>
      <c r="C4" s="7"/>
      <c r="D4" s="7"/>
      <c r="E4" s="7"/>
      <c r="F4" s="7"/>
      <c r="G4" s="7"/>
    </row>
    <row r="5" spans="1:7" ht="19.5" customHeight="1" x14ac:dyDescent="0.25">
      <c r="A5" s="74" t="s">
        <v>104</v>
      </c>
      <c r="B5" s="74" t="s">
        <v>174</v>
      </c>
      <c r="C5" s="60" t="s">
        <v>175</v>
      </c>
      <c r="D5" s="60" t="s">
        <v>176</v>
      </c>
      <c r="E5" s="60" t="s">
        <v>177</v>
      </c>
      <c r="F5" s="60" t="s">
        <v>178</v>
      </c>
      <c r="G5" s="60" t="s">
        <v>179</v>
      </c>
    </row>
    <row r="6" spans="1:7" ht="78" customHeight="1" x14ac:dyDescent="0.25">
      <c r="A6" s="75" t="s">
        <v>162</v>
      </c>
      <c r="B6" s="76" t="s">
        <v>180</v>
      </c>
      <c r="C6" s="76" t="s">
        <v>181</v>
      </c>
      <c r="D6" s="76" t="s">
        <v>182</v>
      </c>
      <c r="E6" s="76" t="s">
        <v>183</v>
      </c>
      <c r="F6" s="76" t="s">
        <v>184</v>
      </c>
      <c r="G6" s="76" t="s">
        <v>185</v>
      </c>
    </row>
    <row r="7" spans="1:7" ht="78" customHeight="1" x14ac:dyDescent="0.25">
      <c r="A7" s="75" t="s">
        <v>164</v>
      </c>
      <c r="B7" s="76" t="s">
        <v>186</v>
      </c>
      <c r="C7" s="76" t="s">
        <v>187</v>
      </c>
      <c r="D7" s="76" t="s">
        <v>188</v>
      </c>
      <c r="E7" s="76" t="s">
        <v>189</v>
      </c>
      <c r="F7" s="76" t="s">
        <v>190</v>
      </c>
      <c r="G7" s="76" t="s">
        <v>191</v>
      </c>
    </row>
    <row r="8" spans="1:7" ht="78" customHeight="1" x14ac:dyDescent="0.25">
      <c r="A8" s="77" t="s">
        <v>165</v>
      </c>
      <c r="B8" s="76" t="s">
        <v>192</v>
      </c>
      <c r="C8" s="76" t="s">
        <v>193</v>
      </c>
      <c r="D8" s="76" t="s">
        <v>194</v>
      </c>
      <c r="E8" s="76" t="s">
        <v>195</v>
      </c>
      <c r="F8" s="76" t="s">
        <v>196</v>
      </c>
      <c r="G8" s="76" t="s">
        <v>197</v>
      </c>
    </row>
    <row r="9" spans="1:7" ht="78" customHeight="1" x14ac:dyDescent="0.25">
      <c r="A9" s="77" t="s">
        <v>166</v>
      </c>
      <c r="B9" s="76" t="s">
        <v>198</v>
      </c>
      <c r="C9" s="76" t="s">
        <v>199</v>
      </c>
      <c r="D9" s="76" t="s">
        <v>200</v>
      </c>
      <c r="E9" s="76" t="s">
        <v>201</v>
      </c>
      <c r="F9" s="76" t="s">
        <v>202</v>
      </c>
      <c r="G9" s="76" t="s">
        <v>203</v>
      </c>
    </row>
    <row r="10" spans="1:7" ht="78" customHeight="1" x14ac:dyDescent="0.25">
      <c r="A10" s="78" t="s">
        <v>167</v>
      </c>
      <c r="B10" s="76" t="s">
        <v>204</v>
      </c>
      <c r="C10" s="76" t="s">
        <v>205</v>
      </c>
      <c r="D10" s="76" t="s">
        <v>206</v>
      </c>
      <c r="E10" s="76" t="s">
        <v>207</v>
      </c>
      <c r="F10" s="76" t="s">
        <v>208</v>
      </c>
      <c r="G10" s="76" t="s">
        <v>209</v>
      </c>
    </row>
    <row r="11" spans="1:7" ht="78" customHeight="1" x14ac:dyDescent="0.25">
      <c r="A11" s="78" t="s">
        <v>168</v>
      </c>
      <c r="B11" s="76" t="s">
        <v>210</v>
      </c>
      <c r="C11" s="76" t="s">
        <v>211</v>
      </c>
      <c r="D11" s="76" t="s">
        <v>212</v>
      </c>
      <c r="E11" s="76" t="s">
        <v>213</v>
      </c>
      <c r="F11" s="76" t="s">
        <v>214</v>
      </c>
      <c r="G11" s="76" t="s">
        <v>215</v>
      </c>
    </row>
    <row r="13" spans="1:7" ht="21.75" customHeight="1" x14ac:dyDescent="0.25">
      <c r="A13" s="1" t="s">
        <v>216</v>
      </c>
      <c r="B13" s="1"/>
      <c r="C13" s="1"/>
      <c r="D13" s="1"/>
      <c r="E13" s="1"/>
      <c r="F13" s="1"/>
      <c r="G13" s="1"/>
    </row>
    <row r="14" spans="1:7" ht="19.5" customHeight="1" x14ac:dyDescent="0.25">
      <c r="A14" s="74" t="s">
        <v>104</v>
      </c>
      <c r="B14" s="74" t="s">
        <v>174</v>
      </c>
      <c r="C14" s="60" t="s">
        <v>175</v>
      </c>
      <c r="D14" s="60" t="s">
        <v>176</v>
      </c>
      <c r="E14" s="60" t="s">
        <v>177</v>
      </c>
      <c r="F14" s="60" t="s">
        <v>178</v>
      </c>
      <c r="G14" s="60" t="s">
        <v>179</v>
      </c>
    </row>
    <row r="15" spans="1:7" ht="78" customHeight="1" x14ac:dyDescent="0.25">
      <c r="A15" s="79" t="s">
        <v>217</v>
      </c>
      <c r="B15" s="76" t="s">
        <v>218</v>
      </c>
      <c r="C15" s="76" t="s">
        <v>219</v>
      </c>
      <c r="D15" s="76" t="s">
        <v>220</v>
      </c>
      <c r="E15" s="76" t="s">
        <v>221</v>
      </c>
      <c r="F15" s="76" t="s">
        <v>222</v>
      </c>
      <c r="G15" s="76" t="s">
        <v>223</v>
      </c>
    </row>
    <row r="16" spans="1:7" ht="78" customHeight="1" x14ac:dyDescent="0.25">
      <c r="A16" s="79" t="s">
        <v>224</v>
      </c>
      <c r="B16" s="76" t="s">
        <v>225</v>
      </c>
      <c r="C16" s="76" t="s">
        <v>226</v>
      </c>
      <c r="D16" s="76" t="s">
        <v>227</v>
      </c>
      <c r="E16" s="76" t="s">
        <v>228</v>
      </c>
      <c r="F16" s="76" t="s">
        <v>229</v>
      </c>
      <c r="G16" s="76" t="s">
        <v>230</v>
      </c>
    </row>
    <row r="17" spans="1:7" ht="78" customHeight="1" x14ac:dyDescent="0.25">
      <c r="A17" s="79" t="s">
        <v>231</v>
      </c>
      <c r="B17" s="76" t="s">
        <v>232</v>
      </c>
      <c r="C17" s="76" t="s">
        <v>233</v>
      </c>
      <c r="D17" s="76" t="s">
        <v>234</v>
      </c>
      <c r="E17" s="76" t="s">
        <v>235</v>
      </c>
      <c r="F17" s="76" t="s">
        <v>236</v>
      </c>
      <c r="G17" s="76" t="s">
        <v>237</v>
      </c>
    </row>
    <row r="18" spans="1:7" ht="78" customHeight="1" x14ac:dyDescent="0.25">
      <c r="A18" s="79" t="s">
        <v>238</v>
      </c>
      <c r="B18" s="76" t="s">
        <v>239</v>
      </c>
      <c r="C18" s="76" t="s">
        <v>240</v>
      </c>
      <c r="D18" s="76" t="s">
        <v>241</v>
      </c>
      <c r="E18" s="76" t="s">
        <v>242</v>
      </c>
      <c r="F18" s="76" t="s">
        <v>243</v>
      </c>
      <c r="G18" s="76" t="s">
        <v>244</v>
      </c>
    </row>
    <row r="19" spans="1:7" ht="78" customHeight="1" x14ac:dyDescent="0.25">
      <c r="A19" s="79" t="s">
        <v>245</v>
      </c>
      <c r="B19" s="76" t="s">
        <v>246</v>
      </c>
      <c r="C19" s="76" t="s">
        <v>247</v>
      </c>
      <c r="D19" s="76" t="s">
        <v>248</v>
      </c>
      <c r="E19" s="76" t="s">
        <v>249</v>
      </c>
      <c r="F19" s="76" t="s">
        <v>250</v>
      </c>
      <c r="G19" s="76" t="s">
        <v>251</v>
      </c>
    </row>
    <row r="20" spans="1:7" ht="78" customHeight="1" x14ac:dyDescent="0.25">
      <c r="A20" s="79" t="s">
        <v>252</v>
      </c>
      <c r="B20" s="76" t="s">
        <v>253</v>
      </c>
      <c r="C20" s="76" t="s">
        <v>254</v>
      </c>
      <c r="D20" s="76" t="s">
        <v>255</v>
      </c>
      <c r="E20" s="76" t="s">
        <v>256</v>
      </c>
      <c r="F20" s="76" t="s">
        <v>257</v>
      </c>
      <c r="G20" s="76" t="s">
        <v>258</v>
      </c>
    </row>
  </sheetData>
  <mergeCells count="4">
    <mergeCell ref="A1:G1"/>
    <mergeCell ref="A2:G2"/>
    <mergeCell ref="A4:G4"/>
    <mergeCell ref="A13:G1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I1"/>
    </sheetView>
  </sheetViews>
  <sheetFormatPr defaultColWidth="8.7109375" defaultRowHeight="15" x14ac:dyDescent="0.25"/>
  <cols>
    <col min="1" max="1" width="32" customWidth="1"/>
    <col min="2" max="2" width="9" customWidth="1"/>
    <col min="3" max="8" width="13" customWidth="1"/>
    <col min="9" max="9" width="15" customWidth="1"/>
  </cols>
  <sheetData>
    <row r="1" spans="1:9" ht="30" customHeight="1" x14ac:dyDescent="0.25">
      <c r="A1" s="3" t="s">
        <v>151</v>
      </c>
      <c r="B1" s="3"/>
      <c r="C1" s="3"/>
      <c r="D1" s="3"/>
      <c r="E1" s="3"/>
      <c r="F1" s="3"/>
      <c r="G1" s="3"/>
      <c r="H1" s="3"/>
      <c r="I1" s="3"/>
    </row>
    <row r="2" spans="1:9" ht="42" customHeight="1" x14ac:dyDescent="0.25">
      <c r="A2" s="9" t="s">
        <v>152</v>
      </c>
      <c r="B2" s="9"/>
      <c r="C2" s="9"/>
      <c r="D2" s="9"/>
      <c r="E2" s="9"/>
      <c r="F2" s="9"/>
      <c r="G2" s="9"/>
      <c r="H2" s="9"/>
      <c r="I2" s="9"/>
    </row>
    <row r="3" spans="1:9" ht="6" customHeight="1" x14ac:dyDescent="0.25"/>
    <row r="4" spans="1:9" ht="30" customHeight="1" x14ac:dyDescent="0.25">
      <c r="A4" s="59" t="s">
        <v>153</v>
      </c>
      <c r="B4" s="60" t="s">
        <v>154</v>
      </c>
      <c r="C4" s="60" t="s">
        <v>155</v>
      </c>
      <c r="D4" s="60" t="s">
        <v>156</v>
      </c>
      <c r="E4" s="60" t="s">
        <v>157</v>
      </c>
      <c r="F4" s="60" t="s">
        <v>158</v>
      </c>
      <c r="G4" s="60" t="s">
        <v>159</v>
      </c>
      <c r="H4" s="60" t="s">
        <v>160</v>
      </c>
      <c r="I4" s="61" t="s">
        <v>161</v>
      </c>
    </row>
    <row r="5" spans="1:9" ht="25.5" customHeight="1" x14ac:dyDescent="0.25">
      <c r="A5" s="62" t="s">
        <v>162</v>
      </c>
      <c r="B5" s="63">
        <f>'Índice de Citabilidade'!E7</f>
        <v>0.15</v>
      </c>
      <c r="C5" s="64"/>
      <c r="D5" s="65" t="s">
        <v>163</v>
      </c>
      <c r="E5" s="65" t="s">
        <v>163</v>
      </c>
      <c r="F5" s="64"/>
      <c r="G5" s="65" t="s">
        <v>163</v>
      </c>
      <c r="H5" s="64"/>
      <c r="I5" s="66">
        <f t="shared" ref="I5:I10" si="0">COUNTIF(C5:H5,"●")</f>
        <v>3</v>
      </c>
    </row>
    <row r="6" spans="1:9" ht="25.5" customHeight="1" x14ac:dyDescent="0.25">
      <c r="A6" s="62" t="s">
        <v>164</v>
      </c>
      <c r="B6" s="63">
        <f>'Índice de Citabilidade'!E8</f>
        <v>0.2</v>
      </c>
      <c r="C6" s="64"/>
      <c r="D6" s="64"/>
      <c r="E6" s="65" t="s">
        <v>163</v>
      </c>
      <c r="F6" s="65" t="s">
        <v>163</v>
      </c>
      <c r="G6" s="65" t="s">
        <v>163</v>
      </c>
      <c r="H6" s="64"/>
      <c r="I6" s="66">
        <f t="shared" si="0"/>
        <v>3</v>
      </c>
    </row>
    <row r="7" spans="1:9" ht="25.5" customHeight="1" x14ac:dyDescent="0.25">
      <c r="A7" s="67" t="s">
        <v>165</v>
      </c>
      <c r="B7" s="63">
        <f>'Índice de Citabilidade'!E9</f>
        <v>0.12</v>
      </c>
      <c r="C7" s="64"/>
      <c r="D7" s="68" t="s">
        <v>163</v>
      </c>
      <c r="E7" s="64"/>
      <c r="F7" s="64"/>
      <c r="G7" s="64"/>
      <c r="H7" s="68" t="s">
        <v>163</v>
      </c>
      <c r="I7" s="66">
        <f t="shared" si="0"/>
        <v>2</v>
      </c>
    </row>
    <row r="8" spans="1:9" ht="25.5" customHeight="1" x14ac:dyDescent="0.25">
      <c r="A8" s="67" t="s">
        <v>166</v>
      </c>
      <c r="B8" s="63">
        <f>'Índice de Citabilidade'!E10</f>
        <v>0.18</v>
      </c>
      <c r="C8" s="68" t="s">
        <v>163</v>
      </c>
      <c r="D8" s="64"/>
      <c r="E8" s="68" t="s">
        <v>163</v>
      </c>
      <c r="F8" s="64"/>
      <c r="G8" s="64"/>
      <c r="H8" s="68" t="s">
        <v>163</v>
      </c>
      <c r="I8" s="66">
        <f t="shared" si="0"/>
        <v>3</v>
      </c>
    </row>
    <row r="9" spans="1:9" ht="25.5" customHeight="1" x14ac:dyDescent="0.25">
      <c r="A9" s="69" t="s">
        <v>167</v>
      </c>
      <c r="B9" s="63">
        <f>'Índice de Citabilidade'!E11</f>
        <v>0.22</v>
      </c>
      <c r="C9" s="70" t="s">
        <v>163</v>
      </c>
      <c r="D9" s="70" t="s">
        <v>163</v>
      </c>
      <c r="E9" s="64"/>
      <c r="F9" s="70" t="s">
        <v>163</v>
      </c>
      <c r="G9" s="64"/>
      <c r="H9" s="64"/>
      <c r="I9" s="66">
        <f t="shared" si="0"/>
        <v>3</v>
      </c>
    </row>
    <row r="10" spans="1:9" ht="25.5" customHeight="1" x14ac:dyDescent="0.25">
      <c r="A10" s="69" t="s">
        <v>168</v>
      </c>
      <c r="B10" s="63">
        <f>'Índice de Citabilidade'!E12</f>
        <v>0.13</v>
      </c>
      <c r="C10" s="70" t="s">
        <v>163</v>
      </c>
      <c r="D10" s="64"/>
      <c r="E10" s="70" t="s">
        <v>163</v>
      </c>
      <c r="F10" s="64"/>
      <c r="G10" s="64"/>
      <c r="H10" s="64"/>
      <c r="I10" s="66">
        <f t="shared" si="0"/>
        <v>2</v>
      </c>
    </row>
    <row r="11" spans="1:9" ht="24" customHeight="1" x14ac:dyDescent="0.25">
      <c r="A11" s="71" t="s">
        <v>169</v>
      </c>
      <c r="B11" s="72"/>
      <c r="C11" s="73">
        <f t="shared" ref="C11:H11" si="1">COUNTIF(C5:C10,"●")</f>
        <v>3</v>
      </c>
      <c r="D11" s="73">
        <f t="shared" si="1"/>
        <v>3</v>
      </c>
      <c r="E11" s="73">
        <f t="shared" si="1"/>
        <v>4</v>
      </c>
      <c r="F11" s="73">
        <f t="shared" si="1"/>
        <v>2</v>
      </c>
      <c r="G11" s="73">
        <f t="shared" si="1"/>
        <v>2</v>
      </c>
      <c r="H11" s="73">
        <f t="shared" si="1"/>
        <v>2</v>
      </c>
      <c r="I11" s="73">
        <f>SUM(I5:I10)</f>
        <v>16</v>
      </c>
    </row>
    <row r="13" spans="1:9" ht="30" customHeight="1" x14ac:dyDescent="0.25">
      <c r="A13" s="2" t="s">
        <v>170</v>
      </c>
      <c r="B13" s="2"/>
      <c r="C13" s="2"/>
      <c r="D13" s="2"/>
      <c r="E13" s="2"/>
      <c r="F13" s="2"/>
      <c r="G13" s="2"/>
      <c r="H13" s="2"/>
      <c r="I13" s="2"/>
    </row>
  </sheetData>
  <mergeCells count="3">
    <mergeCell ref="A1:I1"/>
    <mergeCell ref="A2:I2"/>
    <mergeCell ref="A13:I1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showGridLines="0" zoomScale="102" zoomScaleNormal="102" workbookViewId="0">
      <pane xSplit="1" ySplit="4" topLeftCell="B11" activePane="bottomRight" state="frozen"/>
      <selection pane="topRight" activeCell="B1" sqref="B1"/>
      <selection pane="bottomLeft" activeCell="A5" sqref="A5"/>
      <selection pane="bottomRight" activeCell="C8" sqref="C8"/>
    </sheetView>
  </sheetViews>
  <sheetFormatPr defaultColWidth="8.7109375" defaultRowHeight="15" outlineLevelRow="1" x14ac:dyDescent="0.25"/>
  <cols>
    <col min="1" max="1" width="46" customWidth="1"/>
    <col min="2" max="4" width="16.42578125" customWidth="1"/>
    <col min="5" max="5" width="62" customWidth="1"/>
  </cols>
  <sheetData>
    <row r="1" spans="1:5" ht="33.75" customHeight="1" x14ac:dyDescent="0.25">
      <c r="A1" s="83" t="s">
        <v>262</v>
      </c>
      <c r="B1" s="83"/>
      <c r="C1" s="83"/>
      <c r="D1" s="83"/>
      <c r="E1" s="83"/>
    </row>
    <row r="2" spans="1:5" ht="24" customHeight="1" x14ac:dyDescent="0.25">
      <c r="A2" s="13"/>
      <c r="B2" s="80" t="s">
        <v>259</v>
      </c>
      <c r="C2" s="81" t="s">
        <v>260</v>
      </c>
      <c r="D2" s="82" t="s">
        <v>261</v>
      </c>
      <c r="E2" s="14"/>
    </row>
    <row r="3" spans="1:5" ht="25.5" customHeight="1" x14ac:dyDescent="0.25">
      <c r="A3" s="15" t="s">
        <v>0</v>
      </c>
      <c r="B3" s="16" t="s">
        <v>1</v>
      </c>
      <c r="C3" s="16" t="s">
        <v>2</v>
      </c>
      <c r="D3" s="16" t="s">
        <v>3</v>
      </c>
      <c r="E3" s="14"/>
    </row>
    <row r="4" spans="1:5" ht="57.75" customHeight="1" x14ac:dyDescent="0.25">
      <c r="A4" s="17" t="s">
        <v>4</v>
      </c>
      <c r="B4" s="18" t="s">
        <v>5</v>
      </c>
      <c r="C4" s="18" t="s">
        <v>6</v>
      </c>
      <c r="D4" s="18" t="s">
        <v>7</v>
      </c>
      <c r="E4" s="19" t="s">
        <v>8</v>
      </c>
    </row>
    <row r="5" spans="1:5" ht="19.5" customHeight="1" x14ac:dyDescent="0.25">
      <c r="A5" s="11" t="s">
        <v>9</v>
      </c>
      <c r="B5" s="11"/>
      <c r="C5" s="11"/>
      <c r="D5" s="11"/>
      <c r="E5" s="11"/>
    </row>
    <row r="6" spans="1:5" ht="25.5" customHeight="1" outlineLevel="1" x14ac:dyDescent="0.25">
      <c r="A6" s="20" t="s">
        <v>10</v>
      </c>
      <c r="B6" s="21" t="s">
        <v>11</v>
      </c>
      <c r="C6" s="21" t="s">
        <v>12</v>
      </c>
      <c r="D6" s="21" t="s">
        <v>13</v>
      </c>
      <c r="E6" s="22" t="s">
        <v>14</v>
      </c>
    </row>
    <row r="7" spans="1:5" ht="25.5" customHeight="1" outlineLevel="1" x14ac:dyDescent="0.25">
      <c r="A7" s="23" t="s">
        <v>15</v>
      </c>
      <c r="B7" s="24">
        <v>4</v>
      </c>
      <c r="C7" s="24">
        <v>6</v>
      </c>
      <c r="D7" s="24" t="s">
        <v>16</v>
      </c>
      <c r="E7" s="25" t="s">
        <v>17</v>
      </c>
    </row>
    <row r="8" spans="1:5" ht="25.5" customHeight="1" outlineLevel="1" x14ac:dyDescent="0.25">
      <c r="A8" s="20" t="s">
        <v>18</v>
      </c>
      <c r="B8" s="26" t="s">
        <v>19</v>
      </c>
      <c r="C8" s="26" t="s">
        <v>19</v>
      </c>
      <c r="D8" s="26" t="s">
        <v>19</v>
      </c>
      <c r="E8" s="22" t="s">
        <v>20</v>
      </c>
    </row>
    <row r="9" spans="1:5" ht="25.5" customHeight="1" outlineLevel="1" x14ac:dyDescent="0.25">
      <c r="A9" s="23" t="s">
        <v>21</v>
      </c>
      <c r="B9" s="27" t="s">
        <v>19</v>
      </c>
      <c r="C9" s="27" t="s">
        <v>19</v>
      </c>
      <c r="D9" s="27" t="s">
        <v>19</v>
      </c>
      <c r="E9" s="25" t="s">
        <v>22</v>
      </c>
    </row>
    <row r="10" spans="1:5" ht="25.5" customHeight="1" outlineLevel="1" x14ac:dyDescent="0.25">
      <c r="A10" s="20" t="s">
        <v>23</v>
      </c>
      <c r="B10" s="26" t="s">
        <v>19</v>
      </c>
      <c r="C10" s="26" t="s">
        <v>19</v>
      </c>
      <c r="D10" s="26" t="s">
        <v>19</v>
      </c>
      <c r="E10" s="22" t="s">
        <v>24</v>
      </c>
    </row>
    <row r="11" spans="1:5" ht="25.5" customHeight="1" outlineLevel="1" x14ac:dyDescent="0.25">
      <c r="A11" s="23" t="s">
        <v>25</v>
      </c>
      <c r="B11" s="27" t="s">
        <v>19</v>
      </c>
      <c r="C11" s="27" t="s">
        <v>19</v>
      </c>
      <c r="D11" s="27" t="s">
        <v>19</v>
      </c>
      <c r="E11" s="25" t="s">
        <v>26</v>
      </c>
    </row>
    <row r="12" spans="1:5" ht="25.5" customHeight="1" outlineLevel="1" x14ac:dyDescent="0.25">
      <c r="A12" s="20" t="s">
        <v>27</v>
      </c>
      <c r="B12" s="28" t="s">
        <v>28</v>
      </c>
      <c r="C12" s="26" t="s">
        <v>19</v>
      </c>
      <c r="D12" s="26" t="s">
        <v>19</v>
      </c>
      <c r="E12" s="22" t="s">
        <v>29</v>
      </c>
    </row>
    <row r="13" spans="1:5" ht="25.5" customHeight="1" outlineLevel="1" x14ac:dyDescent="0.25">
      <c r="A13" s="23" t="s">
        <v>30</v>
      </c>
      <c r="B13" s="27" t="s">
        <v>19</v>
      </c>
      <c r="C13" s="27" t="s">
        <v>19</v>
      </c>
      <c r="D13" s="27" t="s">
        <v>19</v>
      </c>
      <c r="E13" s="25" t="s">
        <v>31</v>
      </c>
    </row>
    <row r="14" spans="1:5" ht="25.5" customHeight="1" outlineLevel="1" x14ac:dyDescent="0.25">
      <c r="A14" s="20" t="s">
        <v>32</v>
      </c>
      <c r="B14" s="26" t="s">
        <v>19</v>
      </c>
      <c r="C14" s="26" t="s">
        <v>19</v>
      </c>
      <c r="D14" s="26" t="s">
        <v>19</v>
      </c>
      <c r="E14" s="22" t="s">
        <v>33</v>
      </c>
    </row>
    <row r="15" spans="1:5" ht="19.5" customHeight="1" x14ac:dyDescent="0.25">
      <c r="A15" s="11" t="s">
        <v>34</v>
      </c>
      <c r="B15" s="11"/>
      <c r="C15" s="11"/>
      <c r="D15" s="11"/>
      <c r="E15" s="11"/>
    </row>
    <row r="16" spans="1:5" ht="25.5" customHeight="1" outlineLevel="1" x14ac:dyDescent="0.25">
      <c r="A16" s="23" t="s">
        <v>35</v>
      </c>
      <c r="B16" s="29" t="s">
        <v>28</v>
      </c>
      <c r="C16" s="29" t="s">
        <v>28</v>
      </c>
      <c r="D16" s="27" t="s">
        <v>19</v>
      </c>
      <c r="E16" s="25" t="s">
        <v>36</v>
      </c>
    </row>
    <row r="17" spans="1:5" ht="19.5" customHeight="1" x14ac:dyDescent="0.25">
      <c r="A17" s="11" t="s">
        <v>37</v>
      </c>
      <c r="B17" s="11"/>
      <c r="C17" s="11"/>
      <c r="D17" s="11"/>
      <c r="E17" s="11"/>
    </row>
    <row r="18" spans="1:5" ht="25.5" customHeight="1" outlineLevel="1" x14ac:dyDescent="0.25">
      <c r="A18" s="20" t="s">
        <v>38</v>
      </c>
      <c r="B18" s="26" t="s">
        <v>19</v>
      </c>
      <c r="C18" s="26" t="s">
        <v>19</v>
      </c>
      <c r="D18" s="26" t="s">
        <v>19</v>
      </c>
      <c r="E18" s="22" t="s">
        <v>39</v>
      </c>
    </row>
    <row r="19" spans="1:5" ht="32.25" customHeight="1" outlineLevel="1" x14ac:dyDescent="0.25">
      <c r="A19" s="23" t="s">
        <v>40</v>
      </c>
      <c r="B19" s="24" t="s">
        <v>41</v>
      </c>
      <c r="C19" s="24" t="s">
        <v>42</v>
      </c>
      <c r="D19" s="24" t="s">
        <v>43</v>
      </c>
      <c r="E19" s="25" t="s">
        <v>44</v>
      </c>
    </row>
    <row r="20" spans="1:5" ht="25.5" customHeight="1" outlineLevel="1" x14ac:dyDescent="0.25">
      <c r="A20" s="20" t="s">
        <v>45</v>
      </c>
      <c r="B20" s="28" t="s">
        <v>28</v>
      </c>
      <c r="C20" s="28" t="s">
        <v>28</v>
      </c>
      <c r="D20" s="26" t="s">
        <v>19</v>
      </c>
      <c r="E20" s="22" t="s">
        <v>46</v>
      </c>
    </row>
    <row r="21" spans="1:5" ht="25.5" customHeight="1" outlineLevel="1" x14ac:dyDescent="0.25">
      <c r="A21" s="23" t="s">
        <v>47</v>
      </c>
      <c r="B21" s="29" t="s">
        <v>28</v>
      </c>
      <c r="C21" s="27" t="s">
        <v>19</v>
      </c>
      <c r="D21" s="27" t="s">
        <v>19</v>
      </c>
      <c r="E21" s="25" t="s">
        <v>48</v>
      </c>
    </row>
    <row r="22" spans="1:5" ht="19.5" customHeight="1" x14ac:dyDescent="0.25">
      <c r="A22" s="11" t="s">
        <v>49</v>
      </c>
      <c r="B22" s="11"/>
      <c r="C22" s="11"/>
      <c r="D22" s="11"/>
      <c r="E22" s="11"/>
    </row>
    <row r="23" spans="1:5" ht="25.5" customHeight="1" outlineLevel="1" x14ac:dyDescent="0.25">
      <c r="A23" s="20" t="s">
        <v>50</v>
      </c>
      <c r="B23" s="26" t="s">
        <v>19</v>
      </c>
      <c r="C23" s="26" t="s">
        <v>19</v>
      </c>
      <c r="D23" s="26" t="s">
        <v>19</v>
      </c>
      <c r="E23" s="22" t="s">
        <v>51</v>
      </c>
    </row>
    <row r="24" spans="1:5" ht="25.5" customHeight="1" outlineLevel="1" x14ac:dyDescent="0.25">
      <c r="A24" s="23" t="s">
        <v>52</v>
      </c>
      <c r="B24" s="27" t="s">
        <v>19</v>
      </c>
      <c r="C24" s="27" t="s">
        <v>19</v>
      </c>
      <c r="D24" s="27" t="s">
        <v>19</v>
      </c>
      <c r="E24" s="25" t="s">
        <v>53</v>
      </c>
    </row>
    <row r="25" spans="1:5" ht="25.5" customHeight="1" outlineLevel="1" x14ac:dyDescent="0.25">
      <c r="A25" s="20" t="s">
        <v>54</v>
      </c>
      <c r="B25" s="26" t="s">
        <v>19</v>
      </c>
      <c r="C25" s="26" t="s">
        <v>19</v>
      </c>
      <c r="D25" s="26" t="s">
        <v>19</v>
      </c>
      <c r="E25" s="22" t="s">
        <v>55</v>
      </c>
    </row>
    <row r="26" spans="1:5" ht="25.5" customHeight="1" outlineLevel="1" x14ac:dyDescent="0.25">
      <c r="A26" s="23" t="s">
        <v>56</v>
      </c>
      <c r="B26" s="27" t="s">
        <v>19</v>
      </c>
      <c r="C26" s="27" t="s">
        <v>19</v>
      </c>
      <c r="D26" s="27" t="s">
        <v>19</v>
      </c>
      <c r="E26" s="25" t="s">
        <v>57</v>
      </c>
    </row>
    <row r="27" spans="1:5" ht="25.5" customHeight="1" outlineLevel="1" x14ac:dyDescent="0.25">
      <c r="A27" s="20" t="s">
        <v>58</v>
      </c>
      <c r="B27" s="26" t="s">
        <v>19</v>
      </c>
      <c r="C27" s="26" t="s">
        <v>19</v>
      </c>
      <c r="D27" s="26" t="s">
        <v>19</v>
      </c>
      <c r="E27" s="22" t="s">
        <v>59</v>
      </c>
    </row>
    <row r="28" spans="1:5" ht="25.5" customHeight="1" outlineLevel="1" x14ac:dyDescent="0.25">
      <c r="A28" s="23" t="s">
        <v>60</v>
      </c>
      <c r="B28" s="27" t="s">
        <v>19</v>
      </c>
      <c r="C28" s="27" t="s">
        <v>19</v>
      </c>
      <c r="D28" s="27" t="s">
        <v>19</v>
      </c>
      <c r="E28" s="25" t="s">
        <v>61</v>
      </c>
    </row>
    <row r="29" spans="1:5" ht="19.5" customHeight="1" x14ac:dyDescent="0.25">
      <c r="A29" s="11" t="s">
        <v>62</v>
      </c>
      <c r="B29" s="11"/>
      <c r="C29" s="11"/>
      <c r="D29" s="11"/>
      <c r="E29" s="11"/>
    </row>
    <row r="30" spans="1:5" ht="25.5" customHeight="1" outlineLevel="1" x14ac:dyDescent="0.25">
      <c r="A30" s="20" t="s">
        <v>63</v>
      </c>
      <c r="B30" s="26" t="s">
        <v>19</v>
      </c>
      <c r="C30" s="26" t="s">
        <v>19</v>
      </c>
      <c r="D30" s="26" t="s">
        <v>19</v>
      </c>
      <c r="E30" s="22" t="s">
        <v>64</v>
      </c>
    </row>
    <row r="31" spans="1:5" ht="25.5" customHeight="1" outlineLevel="1" x14ac:dyDescent="0.25">
      <c r="A31" s="23" t="s">
        <v>65</v>
      </c>
      <c r="B31" s="27" t="s">
        <v>19</v>
      </c>
      <c r="C31" s="27" t="s">
        <v>19</v>
      </c>
      <c r="D31" s="27" t="s">
        <v>19</v>
      </c>
      <c r="E31" s="25" t="s">
        <v>66</v>
      </c>
    </row>
    <row r="32" spans="1:5" ht="25.5" customHeight="1" outlineLevel="1" x14ac:dyDescent="0.25">
      <c r="A32" s="20" t="s">
        <v>67</v>
      </c>
      <c r="B32" s="26" t="s">
        <v>19</v>
      </c>
      <c r="C32" s="26" t="s">
        <v>19</v>
      </c>
      <c r="D32" s="26" t="s">
        <v>19</v>
      </c>
      <c r="E32" s="22" t="s">
        <v>68</v>
      </c>
    </row>
    <row r="33" spans="1:5" ht="25.5" customHeight="1" outlineLevel="1" x14ac:dyDescent="0.25">
      <c r="A33" s="23" t="s">
        <v>69</v>
      </c>
      <c r="B33" s="29" t="s">
        <v>28</v>
      </c>
      <c r="C33" s="27" t="s">
        <v>19</v>
      </c>
      <c r="D33" s="27" t="s">
        <v>19</v>
      </c>
      <c r="E33" s="25" t="s">
        <v>70</v>
      </c>
    </row>
    <row r="34" spans="1:5" ht="19.5" customHeight="1" x14ac:dyDescent="0.25">
      <c r="A34" s="11" t="s">
        <v>71</v>
      </c>
      <c r="B34" s="11"/>
      <c r="C34" s="11"/>
      <c r="D34" s="11"/>
      <c r="E34" s="11"/>
    </row>
    <row r="35" spans="1:5" ht="18" customHeight="1" outlineLevel="1" x14ac:dyDescent="0.25">
      <c r="A35" s="10" t="s">
        <v>72</v>
      </c>
      <c r="B35" s="10"/>
      <c r="C35" s="10"/>
      <c r="D35" s="10"/>
      <c r="E35" s="10"/>
    </row>
    <row r="36" spans="1:5" ht="29.25" customHeight="1" outlineLevel="1" x14ac:dyDescent="0.25">
      <c r="A36" s="20" t="s">
        <v>73</v>
      </c>
      <c r="B36" s="26" t="s">
        <v>19</v>
      </c>
      <c r="C36" s="26" t="s">
        <v>19</v>
      </c>
      <c r="D36" s="26" t="s">
        <v>19</v>
      </c>
      <c r="E36" s="22" t="s">
        <v>74</v>
      </c>
    </row>
    <row r="37" spans="1:5" ht="25.5" customHeight="1" outlineLevel="1" x14ac:dyDescent="0.25">
      <c r="A37" s="23" t="s">
        <v>75</v>
      </c>
      <c r="B37" s="27" t="s">
        <v>19</v>
      </c>
      <c r="C37" s="27" t="s">
        <v>19</v>
      </c>
      <c r="D37" s="27" t="s">
        <v>19</v>
      </c>
      <c r="E37" s="25" t="s">
        <v>76</v>
      </c>
    </row>
    <row r="38" spans="1:5" ht="25.5" customHeight="1" outlineLevel="1" x14ac:dyDescent="0.25">
      <c r="A38" s="20" t="s">
        <v>77</v>
      </c>
      <c r="B38" s="28" t="s">
        <v>28</v>
      </c>
      <c r="C38" s="26" t="s">
        <v>19</v>
      </c>
      <c r="D38" s="26" t="s">
        <v>19</v>
      </c>
      <c r="E38" s="22"/>
    </row>
    <row r="39" spans="1:5" ht="18" customHeight="1" outlineLevel="1" x14ac:dyDescent="0.25">
      <c r="A39" s="10" t="s">
        <v>78</v>
      </c>
      <c r="B39" s="10"/>
      <c r="C39" s="10"/>
      <c r="D39" s="10"/>
      <c r="E39" s="10"/>
    </row>
    <row r="40" spans="1:5" ht="25.5" customHeight="1" outlineLevel="1" x14ac:dyDescent="0.25">
      <c r="A40" s="23" t="s">
        <v>79</v>
      </c>
      <c r="B40" s="27" t="s">
        <v>19</v>
      </c>
      <c r="C40" s="27" t="s">
        <v>19</v>
      </c>
      <c r="D40" s="27" t="s">
        <v>19</v>
      </c>
      <c r="E40" s="25" t="s">
        <v>80</v>
      </c>
    </row>
    <row r="41" spans="1:5" ht="25.5" customHeight="1" outlineLevel="1" x14ac:dyDescent="0.25">
      <c r="A41" s="20" t="s">
        <v>81</v>
      </c>
      <c r="B41" s="28" t="s">
        <v>28</v>
      </c>
      <c r="C41" s="28" t="s">
        <v>28</v>
      </c>
      <c r="D41" s="26" t="s">
        <v>19</v>
      </c>
      <c r="E41" s="22" t="s">
        <v>82</v>
      </c>
    </row>
    <row r="42" spans="1:5" ht="25.5" customHeight="1" outlineLevel="1" x14ac:dyDescent="0.25">
      <c r="A42" s="23" t="s">
        <v>83</v>
      </c>
      <c r="B42" s="29" t="s">
        <v>28</v>
      </c>
      <c r="C42" s="29" t="s">
        <v>28</v>
      </c>
      <c r="D42" s="27" t="s">
        <v>19</v>
      </c>
      <c r="E42" s="25" t="s">
        <v>84</v>
      </c>
    </row>
    <row r="43" spans="1:5" ht="19.5" customHeight="1" x14ac:dyDescent="0.25">
      <c r="A43" s="11" t="s">
        <v>85</v>
      </c>
      <c r="B43" s="11"/>
      <c r="C43" s="11"/>
      <c r="D43" s="11"/>
      <c r="E43" s="11"/>
    </row>
    <row r="44" spans="1:5" ht="25.5" customHeight="1" outlineLevel="1" x14ac:dyDescent="0.25">
      <c r="A44" s="20" t="s">
        <v>86</v>
      </c>
      <c r="B44" s="26" t="s">
        <v>19</v>
      </c>
      <c r="C44" s="26" t="s">
        <v>19</v>
      </c>
      <c r="D44" s="26" t="s">
        <v>19</v>
      </c>
      <c r="E44" s="22" t="s">
        <v>87</v>
      </c>
    </row>
    <row r="45" spans="1:5" ht="25.5" customHeight="1" outlineLevel="1" x14ac:dyDescent="0.25">
      <c r="A45" s="23" t="s">
        <v>88</v>
      </c>
      <c r="B45" s="29" t="s">
        <v>28</v>
      </c>
      <c r="C45" s="27" t="s">
        <v>19</v>
      </c>
      <c r="D45" s="27" t="s">
        <v>19</v>
      </c>
      <c r="E45" s="25" t="s">
        <v>89</v>
      </c>
    </row>
    <row r="46" spans="1:5" ht="25.5" customHeight="1" outlineLevel="1" x14ac:dyDescent="0.25">
      <c r="A46" s="20" t="s">
        <v>90</v>
      </c>
      <c r="B46" s="26" t="s">
        <v>19</v>
      </c>
      <c r="C46" s="26" t="s">
        <v>19</v>
      </c>
      <c r="D46" s="26" t="s">
        <v>19</v>
      </c>
      <c r="E46" s="22" t="s">
        <v>91</v>
      </c>
    </row>
    <row r="47" spans="1:5" ht="19.5" customHeight="1" x14ac:dyDescent="0.25">
      <c r="A47" s="11" t="s">
        <v>92</v>
      </c>
      <c r="B47" s="11"/>
      <c r="C47" s="11"/>
      <c r="D47" s="11"/>
      <c r="E47" s="11"/>
    </row>
    <row r="48" spans="1:5" ht="25.5" customHeight="1" outlineLevel="1" x14ac:dyDescent="0.25">
      <c r="A48" s="23" t="s">
        <v>93</v>
      </c>
      <c r="B48" s="27" t="s">
        <v>19</v>
      </c>
      <c r="C48" s="27" t="s">
        <v>19</v>
      </c>
      <c r="D48" s="27" t="s">
        <v>19</v>
      </c>
      <c r="E48" s="25" t="s">
        <v>94</v>
      </c>
    </row>
    <row r="49" spans="1:5" ht="25.5" customHeight="1" outlineLevel="1" x14ac:dyDescent="0.25">
      <c r="A49" s="20" t="s">
        <v>95</v>
      </c>
      <c r="B49" s="26" t="s">
        <v>19</v>
      </c>
      <c r="C49" s="26" t="s">
        <v>19</v>
      </c>
      <c r="D49" s="26" t="s">
        <v>19</v>
      </c>
      <c r="E49" s="22" t="s">
        <v>96</v>
      </c>
    </row>
    <row r="50" spans="1:5" ht="25.5" customHeight="1" outlineLevel="1" x14ac:dyDescent="0.25">
      <c r="A50" s="23" t="s">
        <v>97</v>
      </c>
      <c r="B50" s="27" t="s">
        <v>19</v>
      </c>
      <c r="C50" s="27" t="s">
        <v>19</v>
      </c>
      <c r="D50" s="27" t="s">
        <v>19</v>
      </c>
      <c r="E50" s="25" t="s">
        <v>98</v>
      </c>
    </row>
  </sheetData>
  <mergeCells count="11">
    <mergeCell ref="A47:E47"/>
    <mergeCell ref="A29:E29"/>
    <mergeCell ref="A34:E34"/>
    <mergeCell ref="A35:E35"/>
    <mergeCell ref="A39:E39"/>
    <mergeCell ref="A43:E43"/>
    <mergeCell ref="A1:E1"/>
    <mergeCell ref="A5:E5"/>
    <mergeCell ref="A15:E15"/>
    <mergeCell ref="A17:E17"/>
    <mergeCell ref="A22:E22"/>
  </mergeCells>
  <dataValidations count="2">
    <dataValidation type="list" allowBlank="1" sqref="E5:E50" xr:uid="{00000000-0002-0000-0000-000000000000}">
      <formula1>"Confirmado (imagem),Proposta — revisar,Confirmado,Em estudo,Descartado"</formula1>
      <formula2>0</formula2>
    </dataValidation>
    <dataValidation type="list" allowBlank="1" sqref="B5:D50" xr:uid="{00000000-0002-0000-0000-000001000000}">
      <formula1>"✓,—"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Índice de Citabilidade</vt:lpstr>
      <vt:lpstr>Critérios de Nota</vt:lpstr>
      <vt:lpstr>Ponte IC × Score</vt:lpstr>
      <vt:lpstr>Draft-Estrutura e Comparativo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Igor Meskelis</cp:lastModifiedBy>
  <cp:revision>0</cp:revision>
  <dcterms:created xsi:type="dcterms:W3CDTF">2026-06-18T18:22:56Z</dcterms:created>
  <dcterms:modified xsi:type="dcterms:W3CDTF">2026-08-17T14:05:44Z</dcterms:modified>
  <dc:language>en-US</dc:language>
</cp:coreProperties>
</file>