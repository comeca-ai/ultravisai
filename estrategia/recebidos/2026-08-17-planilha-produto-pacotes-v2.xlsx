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 de Citabilidade" sheetId="1" r:id="rId5"/>
    <sheet state="visible" name="Critérios de Not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">
      <text>
        <t xml:space="preserve">03 Social Presence — faixas de nota:
0–20: 0-1 plataforma, dormente
21–40: 2 plataformas, posts esporádicos (&gt;3 meses parado)
41–60: 3 plataformas ativas, cadência mensal, sem YouTube
61–80: 4 plataformas, recente (últimas semanas), inclui YouTube
81–100: 5 plataformas consistentemente ativas, cadência semanal+, YouTube forte, conteúdo do site reaproveitado
(detalhe na aba 'Critérios de Nota')</t>
      </text>
    </comment>
    <comment authorId="0" ref="D19">
      <text>
        <t xml:space="preserve">02 Conteúdo — faixas de nota:
0–20: &lt;20% dos tópicos com página; páginas não extraíveis (paredão de texto, sem dados/fonte, resposta enterrada)
21–40: 20-40% cobertos; qualidade GEO fraca
41–60: 40-60% cobertos; algumas páginas front-load a resposta, estatísticas ocasionais com fonte
61–80: 60-80% cobertos; maioria resposta-no-topo, cita estatística/fonte, algumas tabelas, majoritariamente fresco
81–100: ≥80% com página dedicada; resposta nos ~30% iniciais, dados com fonte, citações de especialista, tabelas, blocos 50-150 palavras, &lt;12 meses
(detalhe na aba 'Critérios de Nota')</t>
      </text>
    </comment>
    <comment authorId="0" ref="D18">
      <text>
        <t xml:space="preserve">01 Legibilidade do Site — faixas de nota:
0–20: Sem schema, sem llms.txt/sitemap, headings caóticos, sem entidade — a máquina não lê nem te identifica
21–40: Só sitemap; schema ausente ou inválido em poucas páginas; sem entidade
41–60: Organization schema válido nas páginas-chave, sitemap ok, headings razoáveis; sem Product/FAQ, sem llms.txt, entidade fraca
61–80: Schema Org+Product+FAQ na maioria das páginas, llms.txt presente, headings limpos + resposta-no-topo; entidade com nome/aliases inconsistentes
81–100: JSON-LD completo e validado (Org/Product/FAQ/Review), llms.txt+sitemap, resposta-no-topo impecável, entidade no Wikidata/Wikipedia com aliases consistentes
(detalhe na aba 'Critérios de Nota')</t>
      </text>
    </comment>
    <comment authorId="0" ref="D23">
      <text>
        <t xml:space="preserve">06 Verticals/Segments/Regulators — faixas de nota:
0–20: Marca desconhecida (busca de marca ~0), ausente de reguladores/associações/listas
21–40: Pequena busca de marca, sem listagens de vertical
41–60: Demanda de marca moderada, em algumas listas 'melhores/alternativas a'
61–80: Busca de marca sólida, membro de associações-chave, aparece em várias listas/referências da vertical
81–100: Forte demanda de marca + reguladores/normas + associações + Wikipedia + listas 'top do setor'
(detalhe na aba 'Critérios de Nota')</t>
      </text>
    </comment>
    <comment authorId="0" ref="D22">
      <text>
        <t xml:space="preserve">05 Open Media &amp; AI Sources — faixas de nota:
0–20: Presente em &lt;10% dos domínios citados; poucos refdomains
21–40: 10-25% dos domínios citados
41–60: 25-50% — presente em fontes de frequência média
61–80: 50-75%, incluindo vários domínios de alta frequência de citação; refdomains saudáveis
81–100: ≥75% ponderado pela frequência; presente nos domínios mais citados; grande footprint de refdomains
(detalhe na aba 'Critérios de Nota')</t>
      </text>
    </comment>
    <comment authorId="0" ref="D21">
      <text>
        <t xml:space="preserve">04 Customer Reviews — faixas de nota:
0–20: Sem perfis reivindicados; sem reviews ou negativos sem resposta
21–40: Perfil em 1 plataforma, volume baixo, datado, nota &lt;3,5
41–60: Perfis em 2-3 plataformas relevantes, volume moderado, nota ~4,0, algumas respostas
61–80: Perfis completos nas plataformas-chave, nota ≥4,2, reviews recentes constantes, reclamações respondidas, alguma presença Reddit/Quora
81–100: Presença forte + nota ≥4,5 + alto volume recente em G2/Trustpilot/etc + threads ativas e positivas em Reddit/Quora
(detalhe na aba 'Critérios de Nota')</t>
      </text>
    </comment>
  </commentList>
</comments>
</file>

<file path=xl/sharedStrings.xml><?xml version="1.0" encoding="utf-8"?>
<sst xmlns="http://schemas.openxmlformats.org/spreadsheetml/2006/main" count="172" uniqueCount="146">
  <si>
    <t>ULTRAVIS — Critérios de Nota (0 a 100) por dimensão</t>
  </si>
  <si>
    <t>ULTRAVIS — Índice de Citabilidade (IC)</t>
  </si>
  <si>
    <t>Cada nota ancora num sinal mensurável — registre a evidência ao dar a nota. Citabilidade é auditada dos seus ativos (crawler, Ahrefs, checagem de perfis); Visibilidade é lida das respostas de IA sobre um prompt-set fixo × motores. Faixas e thresholds são pontos de partida, a calibrar.</t>
  </si>
  <si>
    <t>Nota de 0 a 100 que mede o quanto você fez para ser citável — o gêmeo acionável da Visibilidade. Cada ponto é uma alavanca que o cliente controla. Soma ponderada de 6 dimensões, ordenadas de interno → externo. Pesos-prior sujeitos a calibração empírica contra a Visibilidade observada.</t>
  </si>
  <si>
    <t>IC  =  0,22 · Open Media &amp; AI Sources  +  0,20 · Conteúdo  +  0,18 · Customer Reviews  +  0,15 · Legibilidade do Site  +  0,13 · Verticals/Segments/Regulators  +  0,12 · Social Presence</t>
  </si>
  <si>
    <t>CITABILIDADE — alavancas (você age · medido dos seus ativos)</t>
  </si>
  <si>
    <t>Dimensão</t>
  </si>
  <si>
    <t>As 6 dimensões  ·  do que você controla ao que você conquista</t>
  </si>
  <si>
    <t>Sinal medido</t>
  </si>
  <si>
    <t>0–20</t>
  </si>
  <si>
    <t>21–40</t>
  </si>
  <si>
    <t>41–60</t>
  </si>
  <si>
    <t>61–80</t>
  </si>
  <si>
    <t>81–100</t>
  </si>
  <si>
    <t>#</t>
  </si>
  <si>
    <t>01 · Legibilidade do Site</t>
  </si>
  <si>
    <t>Cobertura de JSON-LD válido, llms.txt+sitemap, headings, entidade (Wikidata/Wikipedia) e nome/aliases consistentes</t>
  </si>
  <si>
    <t>Frente</t>
  </si>
  <si>
    <t>Sem schema, sem llms.txt/sitemap, headings caóticos, sem entidade — a máquina não lê nem te identifica</t>
  </si>
  <si>
    <t>Zona de ação</t>
  </si>
  <si>
    <t>Só sitemap; schema ausente ou inválido em poucas páginas; sem entidade</t>
  </si>
  <si>
    <t>Organization schema válido nas páginas-chave, sitemap ok, headings razoáveis; sem Product/FAQ, sem llms.txt, entidade fraca</t>
  </si>
  <si>
    <t>Peso</t>
  </si>
  <si>
    <t>Schema Org+Product+FAQ na maioria das páginas, llms.txt presente, headings limpos + resposta-no-topo; entidade com nome/aliases inconsistentes</t>
  </si>
  <si>
    <t>O que mede</t>
  </si>
  <si>
    <t>JSON-LD completo e validado (Org/Product/FAQ/Review), llms.txt+sitemap, resposta-no-topo impecável, entidade no Wikidata/Wikipedia com aliases consistentes</t>
  </si>
  <si>
    <t>02 · Conteúdo</t>
  </si>
  <si>
    <t>Cobertura (% dos tópicos com página própria) × qualidade GEO (resposta nos ~30% iniciais, estatística com fonte, tabelas, blocos 50-150 palavras, &lt;12 meses)</t>
  </si>
  <si>
    <t>01</t>
  </si>
  <si>
    <t>&lt;20% dos tópicos com página; páginas não extraíveis (paredão de texto, sem dados/fonte, resposta enterrada)</t>
  </si>
  <si>
    <t>20-40% cobertos; qualidade GEO fraca</t>
  </si>
  <si>
    <t>40-60% cobertos; algumas páginas front-load a resposta, estatísticas ocasionais com fonte</t>
  </si>
  <si>
    <t>60-80% cobertos; maioria resposta-no-topo, cita estatística/fonte, algumas tabelas, majoritariamente fresco</t>
  </si>
  <si>
    <t>≥80% com página dedicada; resposta nos ~30% iniciais, dados com fonte, citações de especialista, tabelas, blocos 50-150 palavras, &lt;12 meses</t>
  </si>
  <si>
    <t>Legibilidade do Site</t>
  </si>
  <si>
    <t>03 · Social Presence</t>
  </si>
  <si>
    <t>Site próprio</t>
  </si>
  <si>
    <t>Nº de plataformas ativas (satura em 5), recência/cadência, bônus YouTube</t>
  </si>
  <si>
    <t>0-1 plataforma, dormente</t>
  </si>
  <si>
    <t>2 plataformas, posts esporádicos (&gt;3 meses parado)</t>
  </si>
  <si>
    <t>3 plataformas ativas, cadência mensal, sem YouTube</t>
  </si>
  <si>
    <t>4 plataformas, recente (últimas semanas), inclui YouTube</t>
  </si>
  <si>
    <t>5 plataformas consistentemente ativas, cadência semanal+, YouTube forte, conteúdo do site reaproveitado</t>
  </si>
  <si>
    <t>Você controla sozinho</t>
  </si>
  <si>
    <t>04 · Customer Reviews</t>
  </si>
  <si>
    <t>Presença/nota/volume/recência nas plataformas do seu mercado + menções em Reddit/Quora</t>
  </si>
  <si>
    <t>Sem perfis reivindicados; sem reviews ou negativos sem resposta</t>
  </si>
  <si>
    <t>Perfil em 1 plataforma, volume baixo, datado, nota &lt;3,5</t>
  </si>
  <si>
    <t>Perfis em 2-3 plataformas relevantes, volume moderado, nota ~4,0, algumas respostas</t>
  </si>
  <si>
    <t>Perfis completos nas plataformas-chave, nota ≥4,2, reviews recentes constantes, reclamações respondidas, alguma presença Reddit/Quora</t>
  </si>
  <si>
    <t>Presença forte + nota ≥4,5 + alto volume recente em G2/Trustpilot/etc + threads ativas e positivas em Reddit/Quora</t>
  </si>
  <si>
    <t>Prontidão técnica e entidade — schema/JSON-LD, llms.txt, sitemap, Wikidata/Wikipedia, headings e resposta no topo.</t>
  </si>
  <si>
    <t>05 · Open Media &amp; AI Sources</t>
  </si>
  <si>
    <t>02</t>
  </si>
  <si>
    <t>Conteúdo</t>
  </si>
  <si>
    <t>% dos domínios que as IAs citam no seu mercado onde você aparece (ponderado pela frequência de citação) + refdomains</t>
  </si>
  <si>
    <t>Presente em &lt;10% dos domínios citados; poucos refdomains</t>
  </si>
  <si>
    <t>10-25% dos domínios citados</t>
  </si>
  <si>
    <t>25-50% — presente em fontes de frequência média</t>
  </si>
  <si>
    <t>50-75%, incluindo vários domínios de alta frequência de citação; refdomains saudáveis</t>
  </si>
  <si>
    <t>≥75% ponderado pela frequência; presente nos domínios mais citados; grande footprint de refdomains</t>
  </si>
  <si>
    <t>06 · Verticals/Segments/Regulators</t>
  </si>
  <si>
    <t>Demanda de marca (volume de busca — correlato mais forte, r≈0,334), presença em reguladores/associações/listas 'melhores/alternativas a', Wikipedia</t>
  </si>
  <si>
    <t>Marca desconhecida (busca de marca ~0), ausente de reguladores/associações/listas</t>
  </si>
  <si>
    <t>Cobertura + qualidade GEO por tópico — página própria e extraível: resposta no topo, estatísticas com fonte, blocos curtos.</t>
  </si>
  <si>
    <t>Pequena busca de marca, sem listagens de vertical</t>
  </si>
  <si>
    <t>Demanda de marca moderada, em algumas listas 'melhores/alternativas a'</t>
  </si>
  <si>
    <t>Busca de marca sólida, membro de associações-chave, aparece em várias listas/referências da vertical</t>
  </si>
  <si>
    <t>Forte demanda de marca + reguladores/normas + associações + Wikipedia + listas 'top do setor'</t>
  </si>
  <si>
    <t>03</t>
  </si>
  <si>
    <t>VISIBILIDADE / SCORE — resultado (você mede · lido das respostas de IA)</t>
  </si>
  <si>
    <t>Social Presence</t>
  </si>
  <si>
    <t>Redes sociais</t>
  </si>
  <si>
    <t>Você ativa / reivindica</t>
  </si>
  <si>
    <t>Pegada multiplataforma e frescor — presença ativa em 4+ canais (destaque YouTube) e cadência recente.</t>
  </si>
  <si>
    <t>04</t>
  </si>
  <si>
    <t>Citação</t>
  </si>
  <si>
    <t>Customer Reviews</t>
  </si>
  <si>
    <t>Voz dos clientes</t>
  </si>
  <si>
    <t>Prova social e voz do cliente — G2, Trustpilot, Capterra, Reclame Aqui, Google Reviews e menções em Reddit/Quora.</t>
  </si>
  <si>
    <t>Nível de menção médio (não cita → cita → recomenda → lidera), sobre o prompt-set fixo × motores</t>
  </si>
  <si>
    <t>Praticamente não mencionada nos prompts</t>
  </si>
  <si>
    <t>05</t>
  </si>
  <si>
    <t>Mencionada só pelo nome, ocasionalmente</t>
  </si>
  <si>
    <t>Mencionada na maioria dos prompts relevantes, às vezes descrita</t>
  </si>
  <si>
    <t>Ativamente recomendada em muitas respostas</t>
  </si>
  <si>
    <t>Lidera / é a recomendação principal, consistente entre prompts e motores</t>
  </si>
  <si>
    <t>Open Media &amp; AI Sources</t>
  </si>
  <si>
    <t>Presença</t>
  </si>
  <si>
    <t>Em quantos motores você aparece (cross-engine)</t>
  </si>
  <si>
    <t>Aparece em 0-1 motor</t>
  </si>
  <si>
    <t>Mídia e PR</t>
  </si>
  <si>
    <t>2 motores</t>
  </si>
  <si>
    <t>3-4 motores</t>
  </si>
  <si>
    <t>Você conquista no tempo</t>
  </si>
  <si>
    <t>5 motores / maioria</t>
  </si>
  <si>
    <t>Todos os motores (6/6 ou 9/9), com consistência cross-engine</t>
  </si>
  <si>
    <t>Presença nos domínios que as IAs citam — mídia earned, editorial, fóruns, diretórios e listagens do setor.</t>
  </si>
  <si>
    <t>06</t>
  </si>
  <si>
    <t>Autoridade</t>
  </si>
  <si>
    <t>Verticals/Segments/Regulators</t>
  </si>
  <si>
    <t>Profundidade do contexto quando citada</t>
  </si>
  <si>
    <t>Segmento</t>
  </si>
  <si>
    <t>Só o nome, sem contexto</t>
  </si>
  <si>
    <t>Nome + descritor genérico de uma linha</t>
  </si>
  <si>
    <t>Descreve a categoria / o que você faz</t>
  </si>
  <si>
    <t>Autoridade na vertical — reguladores e referências do setor, associações, listas "melhores/alternativas a" e demanda de marca.</t>
  </si>
  <si>
    <t>Descreve diferenciais e produtos com precisão</t>
  </si>
  <si>
    <t>Narrativa rica e precisa — diferenciais, produtos, história, posicionamento</t>
  </si>
  <si>
    <t>Peso total</t>
  </si>
  <si>
    <t>Posição</t>
  </si>
  <si>
    <t>Posição média quando citada na resposta</t>
  </si>
  <si>
    <t>Citada em 5º ou pior</t>
  </si>
  <si>
    <t>~4º</t>
  </si>
  <si>
    <t>~3º</t>
  </si>
  <si>
    <t>~2º</t>
  </si>
  <si>
    <t>~1º de forma consistente</t>
  </si>
  <si>
    <t>Acurácia</t>
  </si>
  <si>
    <t>Correção factual / taxa de alucinação</t>
  </si>
  <si>
    <t>Alucina/erra fatos sobre a marca com frequência</t>
  </si>
  <si>
    <t>Várias imprecisões</t>
  </si>
  <si>
    <t>Majoritariamente correto, alguns dados desatualizados/erros menores</t>
  </si>
  <si>
    <t>Preciso, raros deslizes menores</t>
  </si>
  <si>
    <t>Totalmente preciso e atual, sem alucinação</t>
  </si>
  <si>
    <t>Sentimento</t>
  </si>
  <si>
    <t>Tom da citação</t>
  </si>
  <si>
    <t>Predominantemente negativo</t>
  </si>
  <si>
    <t>Misto puxando para negativo</t>
  </si>
  <si>
    <t>Neutro</t>
  </si>
  <si>
    <t>Majoritariamente positivo</t>
  </si>
  <si>
    <t>Consistentemente positivo / recomendação entusiasta</t>
  </si>
  <si>
    <t>deve somar 100%</t>
  </si>
  <si>
    <t>Simulador de Score</t>
  </si>
  <si>
    <t>Preencha apenas a coluna Nota (0–100, células amarelas) e a Evidência. Critérios de cada nota: passe o mouse na célula ou veja a aba 'Critérios de Nota'.</t>
  </si>
  <si>
    <t>Nota (0–100)</t>
  </si>
  <si>
    <t>Contribuição</t>
  </si>
  <si>
    <t>Evidência (fonte da nota)</t>
  </si>
  <si>
    <t>Org schema em 8/10 páginas; sem llms.txt (crawl 2026-08)</t>
  </si>
  <si>
    <t>14/20 tópicos com página; ~60% front-load (auditoria de conteúdo)</t>
  </si>
  <si>
    <t>4 canais ativos; YouTube parado há ~2 meses</t>
  </si>
  <si>
    <t>G2 4,3 (120 reviews); Trustpilot 4,1; Reclame Aqui respondido</t>
  </si>
  <si>
    <t>presente em 9/24 domínios citados (Ahrefs + aba Citações)</t>
  </si>
  <si>
    <t>busca de marca 2,4k/mês; em 2 listas 'alternativas a'; sem Wikipedia</t>
  </si>
  <si>
    <t>IC (0–100)</t>
  </si>
  <si>
    <t>=</t>
  </si>
  <si>
    <t>soma das contribuições (média ponderada das notas)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</si>
</sst>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1.0"/>
      <color theme="1"/>
      <name val="Calibri"/>
      <scheme val="minor"/>
    </font>
    <font>
      <b/>
      <sz val="14.0"/>
      <color rgb="FFFFFFFF"/>
      <name val="Arial"/>
    </font>
    <font>
      <b/>
      <sz val="16.0"/>
      <color rgb="FFFFFFFF"/>
      <name val="Arial"/>
    </font>
    <font/>
    <font>
      <i/>
      <sz val="9.0"/>
      <color rgb="FF52514E"/>
      <name val="Arial"/>
    </font>
    <font>
      <b/>
      <sz val="11.0"/>
      <color rgb="FFFFFFFF"/>
      <name val="Arial"/>
    </font>
    <font>
      <b/>
      <sz val="10.0"/>
      <color rgb="FF1C5CAB"/>
      <name val="Arial"/>
    </font>
    <font>
      <b/>
      <sz val="9.0"/>
      <color rgb="FF0B0B0B"/>
      <name val="Arial"/>
    </font>
    <font>
      <b/>
      <sz val="10.0"/>
      <color rgb="FF0B0B0B"/>
      <name val="Arial"/>
    </font>
    <font>
      <sz val="9.0"/>
      <color rgb="FF52514E"/>
      <name val="Arial"/>
    </font>
    <font>
      <b/>
      <sz val="9.0"/>
      <color rgb="FF2A78D6"/>
      <name val="Arial"/>
    </font>
    <font>
      <b/>
      <sz val="9.0"/>
      <color rgb="FFEB6834"/>
      <name val="Arial"/>
    </font>
    <font>
      <b/>
      <sz val="9.0"/>
      <color rgb="FF1BAF7A"/>
      <name val="Arial"/>
    </font>
    <font>
      <i/>
      <sz val="9.0"/>
      <color rgb="FF898781"/>
      <name val="Arial"/>
    </font>
    <font>
      <i/>
      <sz val="9.0"/>
      <color rgb="FF1C5CAB"/>
      <name val="Arial"/>
    </font>
    <font>
      <sz val="11.0"/>
      <color theme="1"/>
      <name val="Arial"/>
    </font>
    <font>
      <b/>
      <sz val="10.0"/>
      <color rgb="FFFFFFFF"/>
      <name val="Arial"/>
    </font>
    <font>
      <sz val="10.0"/>
      <color rgb="FF0B0B0B"/>
      <name val="Arial"/>
    </font>
    <font>
      <sz val="10.0"/>
      <color rgb="FF52514E"/>
      <name val="Arial"/>
    </font>
    <font>
      <b/>
      <sz val="11.0"/>
      <color rgb="FF0B0B0B"/>
      <name val="Arial"/>
    </font>
    <font>
      <b/>
      <sz val="13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B0B0B"/>
        <bgColor rgb="FF0B0B0B"/>
      </patternFill>
    </fill>
    <fill>
      <patternFill patternType="solid">
        <fgColor rgb="FFF2F1EE"/>
        <bgColor rgb="FFF2F1EE"/>
      </patternFill>
    </fill>
    <fill>
      <patternFill patternType="solid">
        <fgColor rgb="FF2A78D6"/>
        <bgColor rgb="FF2A78D6"/>
      </patternFill>
    </fill>
    <fill>
      <patternFill patternType="solid">
        <fgColor rgb="FFE7EFFB"/>
        <bgColor rgb="FFE7EFFB"/>
      </patternFill>
    </fill>
    <fill>
      <patternFill patternType="solid">
        <fgColor rgb="FFE1E0D9"/>
        <bgColor rgb="FFE1E0D9"/>
      </patternFill>
    </fill>
    <fill>
      <patternFill patternType="solid">
        <fgColor rgb="FFFCFCFB"/>
        <bgColor rgb="FFFCFCFB"/>
      </patternFill>
    </fill>
    <fill>
      <patternFill patternType="solid">
        <fgColor rgb="FFFCE7DD"/>
        <bgColor rgb="FFFCE7DD"/>
      </patternFill>
    </fill>
    <fill>
      <patternFill patternType="solid">
        <fgColor rgb="FFDDF3EA"/>
        <bgColor rgb="FFDDF3EA"/>
      </patternFill>
    </fill>
    <fill>
      <patternFill patternType="solid">
        <fgColor rgb="FFEB6834"/>
        <bgColor rgb="FFEB6834"/>
      </patternFill>
    </fill>
    <fill>
      <patternFill patternType="solid">
        <fgColor rgb="FF334155"/>
        <bgColor rgb="FF334155"/>
      </patternFill>
    </fill>
    <fill>
      <patternFill patternType="solid">
        <fgColor rgb="FFEEF1F5"/>
        <bgColor rgb="FFEEF1F5"/>
      </patternFill>
    </fill>
    <fill>
      <patternFill patternType="solid">
        <fgColor rgb="FF1BAF7A"/>
        <bgColor rgb="FF1BAF7A"/>
      </patternFill>
    </fill>
    <fill>
      <patternFill patternType="solid">
        <fgColor rgb="FFFFF3C4"/>
        <bgColor rgb="FFFFF3C4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</border>
    <border>
      <left/>
      <right/>
      <top/>
      <bottom/>
    </border>
    <border>
      <left/>
      <right/>
      <top/>
      <bottom style="thin">
        <color rgb="FFE1E0D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left" vertical="center"/>
    </xf>
    <xf borderId="1" fillId="5" fontId="6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left" vertical="center"/>
    </xf>
    <xf borderId="4" fillId="6" fontId="7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left" shrinkToFit="0" vertical="top" wrapText="1"/>
    </xf>
    <xf borderId="5" fillId="6" fontId="8" numFmtId="0" xfId="0" applyAlignment="1" applyBorder="1" applyFont="1">
      <alignment horizontal="left" shrinkToFit="0" vertical="center" wrapText="1"/>
    </xf>
    <xf borderId="4" fillId="7" fontId="9" numFmtId="0" xfId="0" applyAlignment="1" applyBorder="1" applyFill="1" applyFont="1">
      <alignment horizontal="left" shrinkToFit="0" vertical="top" wrapText="1"/>
    </xf>
    <xf borderId="6" fillId="4" fontId="5" numFmtId="0" xfId="0" applyAlignment="1" applyBorder="1" applyFont="1">
      <alignment horizontal="center" vertical="center"/>
    </xf>
    <xf borderId="6" fillId="5" fontId="8" numFmtId="0" xfId="0" applyAlignment="1" applyBorder="1" applyFont="1">
      <alignment horizontal="left" shrinkToFit="0" vertical="center" wrapText="1"/>
    </xf>
    <xf borderId="4" fillId="8" fontId="8" numFmtId="0" xfId="0" applyAlignment="1" applyBorder="1" applyFill="1" applyFont="1">
      <alignment horizontal="left" shrinkToFit="0" vertical="top" wrapText="1"/>
    </xf>
    <xf borderId="6" fillId="7" fontId="9" numFmtId="0" xfId="0" applyAlignment="1" applyBorder="1" applyFont="1">
      <alignment horizontal="center" shrinkToFit="0" vertical="center" wrapText="1"/>
    </xf>
    <xf borderId="6" fillId="5" fontId="10" numFmtId="0" xfId="0" applyAlignment="1" applyBorder="1" applyFont="1">
      <alignment horizontal="center" shrinkToFit="0" vertical="center" wrapText="1"/>
    </xf>
    <xf borderId="6" fillId="7" fontId="8" numFmtId="9" xfId="0" applyAlignment="1" applyBorder="1" applyFont="1" applyNumberFormat="1">
      <alignment horizontal="center" vertical="center"/>
    </xf>
    <xf borderId="6" fillId="7" fontId="9" numFmtId="0" xfId="0" applyAlignment="1" applyBorder="1" applyFont="1">
      <alignment horizontal="left" shrinkToFit="0" vertical="center" wrapText="1"/>
    </xf>
    <xf borderId="4" fillId="9" fontId="8" numFmtId="0" xfId="0" applyAlignment="1" applyBorder="1" applyFill="1" applyFont="1">
      <alignment horizontal="left" shrinkToFit="0" vertical="top" wrapText="1"/>
    </xf>
    <xf borderId="6" fillId="10" fontId="5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left" vertical="center"/>
    </xf>
    <xf borderId="6" fillId="8" fontId="8" numFmtId="0" xfId="0" applyAlignment="1" applyBorder="1" applyFont="1">
      <alignment horizontal="left" shrinkToFit="0" vertical="center" wrapText="1"/>
    </xf>
    <xf borderId="6" fillId="8" fontId="11" numFmtId="0" xfId="0" applyAlignment="1" applyBorder="1" applyFont="1">
      <alignment horizontal="center" shrinkToFit="0" vertical="center" wrapText="1"/>
    </xf>
    <xf borderId="4" fillId="12" fontId="8" numFmtId="0" xfId="0" applyAlignment="1" applyBorder="1" applyFill="1" applyFont="1">
      <alignment horizontal="left" shrinkToFit="0" vertical="top" wrapText="1"/>
    </xf>
    <xf borderId="6" fillId="13" fontId="5" numFmtId="0" xfId="0" applyAlignment="1" applyBorder="1" applyFill="1" applyFont="1">
      <alignment horizontal="center" vertical="center"/>
    </xf>
    <xf borderId="6" fillId="9" fontId="8" numFmtId="0" xfId="0" applyAlignment="1" applyBorder="1" applyFont="1">
      <alignment horizontal="left" shrinkToFit="0" vertical="center" wrapText="1"/>
    </xf>
    <xf borderId="6" fillId="9" fontId="12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right" vertical="center"/>
    </xf>
    <xf borderId="5" fillId="3" fontId="6" numFmtId="9" xfId="0" applyAlignment="1" applyBorder="1" applyFont="1" applyNumberFormat="1">
      <alignment horizontal="center" vertical="center"/>
    </xf>
    <xf borderId="5" fillId="3" fontId="13" numFmtId="0" xfId="0" applyAlignment="1" applyBorder="1" applyFont="1">
      <alignment horizontal="left" vertical="center"/>
    </xf>
    <xf borderId="1" fillId="5" fontId="14" numFmtId="0" xfId="0" applyAlignment="1" applyBorder="1" applyFont="1">
      <alignment horizontal="left" shrinkToFit="0" vertical="center" wrapText="1"/>
    </xf>
    <xf borderId="5" fillId="7" fontId="15" numFmtId="0" xfId="0" applyBorder="1" applyFont="1"/>
    <xf borderId="6" fillId="6" fontId="8" numFmtId="0" xfId="0" applyAlignment="1" applyBorder="1" applyFont="1">
      <alignment horizontal="left" shrinkToFit="0" vertical="center" wrapText="1"/>
    </xf>
    <xf borderId="6" fillId="6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left" vertical="center"/>
    </xf>
    <xf borderId="6" fillId="4" fontId="16" numFmtId="0" xfId="0" applyAlignment="1" applyBorder="1" applyFont="1">
      <alignment horizontal="center" vertical="center"/>
    </xf>
    <xf borderId="6" fillId="7" fontId="17" numFmtId="0" xfId="0" applyAlignment="1" applyBorder="1" applyFont="1">
      <alignment horizontal="left" shrinkToFit="0" vertical="center" wrapText="1"/>
    </xf>
    <xf borderId="6" fillId="7" fontId="18" numFmtId="9" xfId="0" applyAlignment="1" applyBorder="1" applyFont="1" applyNumberFormat="1">
      <alignment horizontal="center" vertical="center"/>
    </xf>
    <xf borderId="4" fillId="14" fontId="8" numFmtId="1" xfId="0" applyAlignment="1" applyBorder="1" applyFill="1" applyFont="1" applyNumberFormat="1">
      <alignment horizontal="center" vertical="center"/>
    </xf>
    <xf borderId="6" fillId="7" fontId="17" numFmtId="164" xfId="0" applyAlignment="1" applyBorder="1" applyFont="1" applyNumberFormat="1">
      <alignment horizontal="center" vertical="center"/>
    </xf>
    <xf borderId="4" fillId="14" fontId="4" numFmtId="0" xfId="0" applyAlignment="1" applyBorder="1" applyFont="1">
      <alignment horizontal="left" shrinkToFit="0" vertical="center" wrapText="1"/>
    </xf>
    <xf borderId="6" fillId="10" fontId="16" numFmtId="0" xfId="0" applyAlignment="1" applyBorder="1" applyFont="1">
      <alignment horizontal="center" vertical="center"/>
    </xf>
    <xf borderId="6" fillId="13" fontId="16" numFmtId="0" xfId="0" applyAlignment="1" applyBorder="1" applyFont="1">
      <alignment horizontal="center" vertical="center"/>
    </xf>
    <xf borderId="5" fillId="3" fontId="15" numFmtId="0" xfId="0" applyBorder="1" applyFont="1"/>
    <xf borderId="1" fillId="3" fontId="19" numFmtId="0" xfId="0" applyAlignment="1" applyBorder="1" applyFont="1">
      <alignment horizontal="right" vertical="center"/>
    </xf>
    <xf borderId="5" fillId="3" fontId="19" numFmtId="0" xfId="0" applyAlignment="1" applyBorder="1" applyFont="1">
      <alignment horizontal="center" vertical="center"/>
    </xf>
    <xf borderId="5" fillId="4" fontId="20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16.0"/>
    <col customWidth="1" min="4" max="4" width="24.0"/>
    <col customWidth="1" min="5" max="5" width="9.0"/>
    <col customWidth="1" min="6" max="6" width="86.14"/>
    <col customWidth="1" min="7" max="26" width="8.71"/>
  </cols>
  <sheetData>
    <row r="1" ht="33.75" customHeight="1">
      <c r="A1" s="2" t="s">
        <v>1</v>
      </c>
      <c r="B1" s="3"/>
      <c r="C1" s="3"/>
      <c r="D1" s="3"/>
      <c r="E1" s="3"/>
      <c r="F1" s="4"/>
    </row>
    <row r="2" ht="45.75" customHeight="1">
      <c r="A2" s="5" t="s">
        <v>3</v>
      </c>
      <c r="B2" s="3"/>
      <c r="C2" s="3"/>
      <c r="D2" s="3"/>
      <c r="E2" s="3"/>
      <c r="F2" s="4"/>
    </row>
    <row r="3" ht="39.75" customHeight="1">
      <c r="A3" s="7" t="s">
        <v>4</v>
      </c>
      <c r="B3" s="3"/>
      <c r="C3" s="3"/>
      <c r="D3" s="3"/>
      <c r="E3" s="3"/>
      <c r="F3" s="4"/>
    </row>
    <row r="4" ht="6.0" customHeight="1"/>
    <row r="5" ht="21.75" customHeight="1">
      <c r="A5" s="6" t="s">
        <v>7</v>
      </c>
      <c r="B5" s="3"/>
      <c r="C5" s="3"/>
      <c r="D5" s="3"/>
      <c r="E5" s="3"/>
      <c r="F5" s="4"/>
    </row>
    <row r="6" ht="19.5" customHeight="1">
      <c r="A6" s="10" t="s">
        <v>14</v>
      </c>
      <c r="B6" s="12" t="s">
        <v>6</v>
      </c>
      <c r="C6" s="10" t="s">
        <v>17</v>
      </c>
      <c r="D6" s="10" t="s">
        <v>19</v>
      </c>
      <c r="E6" s="10" t="s">
        <v>22</v>
      </c>
      <c r="F6" s="12" t="s">
        <v>24</v>
      </c>
    </row>
    <row r="7" ht="39.75" customHeight="1">
      <c r="A7" s="14" t="s">
        <v>28</v>
      </c>
      <c r="B7" s="15" t="s">
        <v>34</v>
      </c>
      <c r="C7" s="17" t="s">
        <v>36</v>
      </c>
      <c r="D7" s="18" t="s">
        <v>43</v>
      </c>
      <c r="E7" s="19">
        <v>0.15</v>
      </c>
      <c r="F7" s="20" t="s">
        <v>51</v>
      </c>
    </row>
    <row r="8" ht="39.75" customHeight="1">
      <c r="A8" s="14" t="s">
        <v>53</v>
      </c>
      <c r="B8" s="15" t="s">
        <v>54</v>
      </c>
      <c r="C8" s="17" t="s">
        <v>36</v>
      </c>
      <c r="D8" s="18" t="s">
        <v>43</v>
      </c>
      <c r="E8" s="19">
        <v>0.2</v>
      </c>
      <c r="F8" s="20" t="s">
        <v>64</v>
      </c>
    </row>
    <row r="9" ht="39.75" customHeight="1">
      <c r="A9" s="22" t="s">
        <v>69</v>
      </c>
      <c r="B9" s="24" t="s">
        <v>71</v>
      </c>
      <c r="C9" s="17" t="s">
        <v>72</v>
      </c>
      <c r="D9" s="25" t="s">
        <v>73</v>
      </c>
      <c r="E9" s="19">
        <v>0.12</v>
      </c>
      <c r="F9" s="20" t="s">
        <v>74</v>
      </c>
    </row>
    <row r="10" ht="39.75" customHeight="1">
      <c r="A10" s="22" t="s">
        <v>75</v>
      </c>
      <c r="B10" s="24" t="s">
        <v>77</v>
      </c>
      <c r="C10" s="17" t="s">
        <v>78</v>
      </c>
      <c r="D10" s="25" t="s">
        <v>73</v>
      </c>
      <c r="E10" s="19">
        <v>0.18</v>
      </c>
      <c r="F10" s="20" t="s">
        <v>79</v>
      </c>
    </row>
    <row r="11" ht="39.75" customHeight="1">
      <c r="A11" s="27" t="s">
        <v>82</v>
      </c>
      <c r="B11" s="28" t="s">
        <v>87</v>
      </c>
      <c r="C11" s="17" t="s">
        <v>91</v>
      </c>
      <c r="D11" s="29" t="s">
        <v>94</v>
      </c>
      <c r="E11" s="19">
        <v>0.22</v>
      </c>
      <c r="F11" s="20" t="s">
        <v>97</v>
      </c>
    </row>
    <row r="12" ht="39.75" customHeight="1">
      <c r="A12" s="27" t="s">
        <v>98</v>
      </c>
      <c r="B12" s="28" t="s">
        <v>100</v>
      </c>
      <c r="C12" s="17" t="s">
        <v>102</v>
      </c>
      <c r="D12" s="29" t="s">
        <v>94</v>
      </c>
      <c r="E12" s="19">
        <v>0.13</v>
      </c>
      <c r="F12" s="20" t="s">
        <v>106</v>
      </c>
    </row>
    <row r="13" ht="15.0" customHeight="1">
      <c r="A13" s="30" t="s">
        <v>109</v>
      </c>
      <c r="B13" s="3"/>
      <c r="C13" s="3"/>
      <c r="D13" s="4"/>
      <c r="E13" s="31">
        <f>SUM(E7:E12)</f>
        <v>1</v>
      </c>
      <c r="F13" s="32" t="s">
        <v>131</v>
      </c>
    </row>
    <row r="15" ht="21.75" customHeight="1">
      <c r="A15" s="6" t="s">
        <v>132</v>
      </c>
      <c r="B15" s="3"/>
      <c r="C15" s="3"/>
      <c r="D15" s="3"/>
      <c r="E15" s="3"/>
      <c r="F15" s="4"/>
    </row>
    <row r="16" ht="18.0" customHeight="1">
      <c r="A16" s="33" t="s">
        <v>133</v>
      </c>
      <c r="B16" s="3"/>
      <c r="C16" s="3"/>
      <c r="D16" s="3"/>
      <c r="E16" s="3"/>
      <c r="F16" s="4"/>
    </row>
    <row r="17" ht="18.0" customHeight="1">
      <c r="A17" s="34"/>
      <c r="B17" s="35" t="s">
        <v>6</v>
      </c>
      <c r="C17" s="36" t="s">
        <v>22</v>
      </c>
      <c r="D17" s="36" t="s">
        <v>134</v>
      </c>
      <c r="E17" s="36" t="s">
        <v>135</v>
      </c>
      <c r="F17" s="37" t="s">
        <v>136</v>
      </c>
    </row>
    <row r="18" ht="30.0" customHeight="1">
      <c r="A18" s="38" t="s">
        <v>28</v>
      </c>
      <c r="B18" s="39" t="s">
        <v>34</v>
      </c>
      <c r="C18" s="40">
        <f t="shared" ref="C18:C23" si="1">E7</f>
        <v>0.15</v>
      </c>
      <c r="D18" s="41">
        <v>60.0</v>
      </c>
      <c r="E18" s="42">
        <f t="shared" ref="E18:E23" si="2">C18*D18</f>
        <v>9</v>
      </c>
      <c r="F18" s="43" t="s">
        <v>137</v>
      </c>
    </row>
    <row r="19" ht="30.0" customHeight="1">
      <c r="A19" s="38" t="s">
        <v>53</v>
      </c>
      <c r="B19" s="39" t="s">
        <v>54</v>
      </c>
      <c r="C19" s="40">
        <f t="shared" si="1"/>
        <v>0.2</v>
      </c>
      <c r="D19" s="41">
        <v>72.0</v>
      </c>
      <c r="E19" s="42">
        <f t="shared" si="2"/>
        <v>14.4</v>
      </c>
      <c r="F19" s="43" t="s">
        <v>138</v>
      </c>
    </row>
    <row r="20" ht="30.0" customHeight="1">
      <c r="A20" s="44" t="s">
        <v>69</v>
      </c>
      <c r="B20" s="39" t="s">
        <v>71</v>
      </c>
      <c r="C20" s="40">
        <f t="shared" si="1"/>
        <v>0.12</v>
      </c>
      <c r="D20" s="41">
        <v>45.0</v>
      </c>
      <c r="E20" s="42">
        <f t="shared" si="2"/>
        <v>5.4</v>
      </c>
      <c r="F20" s="43" t="s">
        <v>139</v>
      </c>
    </row>
    <row r="21" ht="30.0" customHeight="1">
      <c r="A21" s="44" t="s">
        <v>75</v>
      </c>
      <c r="B21" s="39" t="s">
        <v>77</v>
      </c>
      <c r="C21" s="40">
        <f t="shared" si="1"/>
        <v>0.18</v>
      </c>
      <c r="D21" s="41">
        <v>55.0</v>
      </c>
      <c r="E21" s="42">
        <f t="shared" si="2"/>
        <v>9.9</v>
      </c>
      <c r="F21" s="43" t="s">
        <v>140</v>
      </c>
    </row>
    <row r="22" ht="30.0" customHeight="1">
      <c r="A22" s="45" t="s">
        <v>82</v>
      </c>
      <c r="B22" s="39" t="s">
        <v>87</v>
      </c>
      <c r="C22" s="40">
        <f t="shared" si="1"/>
        <v>0.22</v>
      </c>
      <c r="D22" s="41">
        <v>30.0</v>
      </c>
      <c r="E22" s="42">
        <f t="shared" si="2"/>
        <v>6.6</v>
      </c>
      <c r="F22" s="43" t="s">
        <v>141</v>
      </c>
    </row>
    <row r="23" ht="30.0" customHeight="1">
      <c r="A23" s="45" t="s">
        <v>98</v>
      </c>
      <c r="B23" s="39" t="s">
        <v>100</v>
      </c>
      <c r="C23" s="40">
        <f t="shared" si="1"/>
        <v>0.13</v>
      </c>
      <c r="D23" s="41">
        <v>48.0</v>
      </c>
      <c r="E23" s="42">
        <f t="shared" si="2"/>
        <v>6.24</v>
      </c>
      <c r="F23" s="43" t="s">
        <v>142</v>
      </c>
    </row>
    <row r="24" ht="24.0" customHeight="1">
      <c r="A24" s="46"/>
      <c r="B24" s="47" t="s">
        <v>143</v>
      </c>
      <c r="C24" s="4"/>
      <c r="D24" s="48" t="s">
        <v>144</v>
      </c>
      <c r="E24" s="49">
        <f>SUM(E18:E23)</f>
        <v>51.54</v>
      </c>
      <c r="F24" s="32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3:F3"/>
    <mergeCell ref="A5:F5"/>
    <mergeCell ref="A13:D13"/>
    <mergeCell ref="A15:F15"/>
    <mergeCell ref="A16:F16"/>
    <mergeCell ref="B24:C24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7" width="27.0"/>
    <col customWidth="1" min="8" max="26" width="8.71"/>
  </cols>
  <sheetData>
    <row r="1" ht="30.0" customHeight="1">
      <c r="A1" s="1" t="s">
        <v>0</v>
      </c>
      <c r="B1" s="3"/>
      <c r="C1" s="3"/>
      <c r="D1" s="3"/>
      <c r="E1" s="3"/>
      <c r="F1" s="3"/>
      <c r="G1" s="4"/>
    </row>
    <row r="2" ht="43.5" customHeight="1">
      <c r="A2" s="5" t="s">
        <v>2</v>
      </c>
      <c r="B2" s="3"/>
      <c r="C2" s="3"/>
      <c r="D2" s="3"/>
      <c r="E2" s="3"/>
      <c r="F2" s="3"/>
      <c r="G2" s="4"/>
    </row>
    <row r="3" ht="6.0" customHeight="1"/>
    <row r="4" ht="21.75" customHeight="1">
      <c r="A4" s="6" t="s">
        <v>5</v>
      </c>
      <c r="B4" s="3"/>
      <c r="C4" s="3"/>
      <c r="D4" s="3"/>
      <c r="E4" s="3"/>
      <c r="F4" s="3"/>
      <c r="G4" s="4"/>
    </row>
    <row r="5" ht="19.5" customHeight="1">
      <c r="A5" s="8" t="s">
        <v>6</v>
      </c>
      <c r="B5" s="8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</row>
    <row r="6" ht="78.0" customHeight="1">
      <c r="A6" s="11" t="s">
        <v>15</v>
      </c>
      <c r="B6" s="13" t="s">
        <v>16</v>
      </c>
      <c r="C6" s="13" t="s">
        <v>18</v>
      </c>
      <c r="D6" s="13" t="s">
        <v>20</v>
      </c>
      <c r="E6" s="13" t="s">
        <v>21</v>
      </c>
      <c r="F6" s="13" t="s">
        <v>23</v>
      </c>
      <c r="G6" s="13" t="s">
        <v>25</v>
      </c>
    </row>
    <row r="7" ht="78.0" customHeight="1">
      <c r="A7" s="11" t="s">
        <v>26</v>
      </c>
      <c r="B7" s="13" t="s">
        <v>27</v>
      </c>
      <c r="C7" s="13" t="s">
        <v>29</v>
      </c>
      <c r="D7" s="13" t="s">
        <v>30</v>
      </c>
      <c r="E7" s="13" t="s">
        <v>31</v>
      </c>
      <c r="F7" s="13" t="s">
        <v>32</v>
      </c>
      <c r="G7" s="13" t="s">
        <v>33</v>
      </c>
    </row>
    <row r="8" ht="78.0" customHeight="1">
      <c r="A8" s="16" t="s">
        <v>35</v>
      </c>
      <c r="B8" s="13" t="s">
        <v>37</v>
      </c>
      <c r="C8" s="13" t="s">
        <v>38</v>
      </c>
      <c r="D8" s="13" t="s">
        <v>39</v>
      </c>
      <c r="E8" s="13" t="s">
        <v>40</v>
      </c>
      <c r="F8" s="13" t="s">
        <v>41</v>
      </c>
      <c r="G8" s="13" t="s">
        <v>42</v>
      </c>
    </row>
    <row r="9" ht="78.0" customHeight="1">
      <c r="A9" s="16" t="s">
        <v>44</v>
      </c>
      <c r="B9" s="13" t="s">
        <v>45</v>
      </c>
      <c r="C9" s="13" t="s">
        <v>46</v>
      </c>
      <c r="D9" s="13" t="s">
        <v>47</v>
      </c>
      <c r="E9" s="13" t="s">
        <v>48</v>
      </c>
      <c r="F9" s="13" t="s">
        <v>49</v>
      </c>
      <c r="G9" s="13" t="s">
        <v>50</v>
      </c>
    </row>
    <row r="10" ht="78.0" customHeight="1">
      <c r="A10" s="21" t="s">
        <v>52</v>
      </c>
      <c r="B10" s="13" t="s">
        <v>55</v>
      </c>
      <c r="C10" s="13" t="s">
        <v>56</v>
      </c>
      <c r="D10" s="13" t="s">
        <v>57</v>
      </c>
      <c r="E10" s="13" t="s">
        <v>58</v>
      </c>
      <c r="F10" s="13" t="s">
        <v>59</v>
      </c>
      <c r="G10" s="13" t="s">
        <v>60</v>
      </c>
    </row>
    <row r="11" ht="78.0" customHeight="1">
      <c r="A11" s="21" t="s">
        <v>61</v>
      </c>
      <c r="B11" s="13" t="s">
        <v>62</v>
      </c>
      <c r="C11" s="13" t="s">
        <v>63</v>
      </c>
      <c r="D11" s="13" t="s">
        <v>65</v>
      </c>
      <c r="E11" s="13" t="s">
        <v>66</v>
      </c>
      <c r="F11" s="13" t="s">
        <v>67</v>
      </c>
      <c r="G11" s="13" t="s">
        <v>68</v>
      </c>
    </row>
    <row r="13" ht="21.75" customHeight="1">
      <c r="A13" s="23" t="s">
        <v>70</v>
      </c>
      <c r="B13" s="3"/>
      <c r="C13" s="3"/>
      <c r="D13" s="3"/>
      <c r="E13" s="3"/>
      <c r="F13" s="3"/>
      <c r="G13" s="4"/>
    </row>
    <row r="14" ht="19.5" customHeight="1">
      <c r="A14" s="8" t="s">
        <v>6</v>
      </c>
      <c r="B14" s="8" t="s">
        <v>8</v>
      </c>
      <c r="C14" s="9" t="s">
        <v>9</v>
      </c>
      <c r="D14" s="9" t="s">
        <v>10</v>
      </c>
      <c r="E14" s="9" t="s">
        <v>11</v>
      </c>
      <c r="F14" s="9" t="s">
        <v>12</v>
      </c>
      <c r="G14" s="9" t="s">
        <v>13</v>
      </c>
    </row>
    <row r="15" ht="78.0" customHeight="1">
      <c r="A15" s="26" t="s">
        <v>76</v>
      </c>
      <c r="B15" s="13" t="s">
        <v>80</v>
      </c>
      <c r="C15" s="13" t="s">
        <v>81</v>
      </c>
      <c r="D15" s="13" t="s">
        <v>83</v>
      </c>
      <c r="E15" s="13" t="s">
        <v>84</v>
      </c>
      <c r="F15" s="13" t="s">
        <v>85</v>
      </c>
      <c r="G15" s="13" t="s">
        <v>86</v>
      </c>
    </row>
    <row r="16" ht="78.0" customHeight="1">
      <c r="A16" s="26" t="s">
        <v>88</v>
      </c>
      <c r="B16" s="13" t="s">
        <v>89</v>
      </c>
      <c r="C16" s="13" t="s">
        <v>90</v>
      </c>
      <c r="D16" s="13" t="s">
        <v>92</v>
      </c>
      <c r="E16" s="13" t="s">
        <v>93</v>
      </c>
      <c r="F16" s="13" t="s">
        <v>95</v>
      </c>
      <c r="G16" s="13" t="s">
        <v>96</v>
      </c>
    </row>
    <row r="17" ht="78.0" customHeight="1">
      <c r="A17" s="26" t="s">
        <v>99</v>
      </c>
      <c r="B17" s="13" t="s">
        <v>101</v>
      </c>
      <c r="C17" s="13" t="s">
        <v>103</v>
      </c>
      <c r="D17" s="13" t="s">
        <v>104</v>
      </c>
      <c r="E17" s="13" t="s">
        <v>105</v>
      </c>
      <c r="F17" s="13" t="s">
        <v>107</v>
      </c>
      <c r="G17" s="13" t="s">
        <v>108</v>
      </c>
    </row>
    <row r="18" ht="78.0" customHeight="1">
      <c r="A18" s="26" t="s">
        <v>110</v>
      </c>
      <c r="B18" s="13" t="s">
        <v>111</v>
      </c>
      <c r="C18" s="13" t="s">
        <v>112</v>
      </c>
      <c r="D18" s="13" t="s">
        <v>113</v>
      </c>
      <c r="E18" s="13" t="s">
        <v>114</v>
      </c>
      <c r="F18" s="13" t="s">
        <v>115</v>
      </c>
      <c r="G18" s="13" t="s">
        <v>116</v>
      </c>
    </row>
    <row r="19" ht="78.0" customHeight="1">
      <c r="A19" s="26" t="s">
        <v>117</v>
      </c>
      <c r="B19" s="13" t="s">
        <v>118</v>
      </c>
      <c r="C19" s="13" t="s">
        <v>119</v>
      </c>
      <c r="D19" s="13" t="s">
        <v>120</v>
      </c>
      <c r="E19" s="13" t="s">
        <v>121</v>
      </c>
      <c r="F19" s="13" t="s">
        <v>122</v>
      </c>
      <c r="G19" s="13" t="s">
        <v>123</v>
      </c>
    </row>
    <row r="20" ht="78.0" customHeight="1">
      <c r="A20" s="26" t="s">
        <v>124</v>
      </c>
      <c r="B20" s="13" t="s">
        <v>125</v>
      </c>
      <c r="C20" s="13" t="s">
        <v>126</v>
      </c>
      <c r="D20" s="13" t="s">
        <v>127</v>
      </c>
      <c r="E20" s="13" t="s">
        <v>128</v>
      </c>
      <c r="F20" s="13" t="s">
        <v>129</v>
      </c>
      <c r="G20" s="13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4:G4"/>
    <mergeCell ref="A13:G13"/>
  </mergeCells>
  <printOptions/>
  <pageMargins bottom="1.0" footer="0.0" header="0.0" left="0.75" right="0.75" top="1.0"/>
  <pageSetup paperSize="9" orientation="portrait"/>
  <drawing r:id="rId1"/>
</worksheet>
</file>